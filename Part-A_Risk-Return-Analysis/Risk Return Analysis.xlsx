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0980"/>
  </bookViews>
  <sheets>
    <sheet name="FINAL SHEET" sheetId="2" r:id="rId1"/>
    <sheet name="CIA 3 SHEET" sheetId="1" r:id="rId2"/>
  </sheets>
  <calcPr calcId="162913"/>
</workbook>
</file>

<file path=xl/calcChain.xml><?xml version="1.0" encoding="utf-8"?>
<calcChain xmlns="http://schemas.openxmlformats.org/spreadsheetml/2006/main">
  <c r="Z102" i="2" l="1"/>
  <c r="R102" i="2"/>
  <c r="M102" i="2"/>
  <c r="I102" i="2"/>
  <c r="A103" i="2"/>
  <c r="Z94" i="2"/>
  <c r="Z93" i="2"/>
  <c r="Z92" i="2"/>
  <c r="Z91" i="2"/>
  <c r="Z89" i="2"/>
  <c r="Z88" i="2"/>
  <c r="Z87" i="2"/>
  <c r="S94" i="2"/>
  <c r="S93" i="2"/>
  <c r="S91" i="2"/>
  <c r="S92" i="2"/>
  <c r="S89" i="2"/>
  <c r="S88" i="2"/>
  <c r="S87" i="2"/>
  <c r="N93" i="2"/>
  <c r="N91" i="2"/>
  <c r="N89" i="2"/>
  <c r="N92" i="2" s="1"/>
  <c r="N94" i="2" s="1"/>
  <c r="N88" i="2"/>
  <c r="N87" i="2"/>
  <c r="J94" i="2"/>
  <c r="J93" i="2"/>
  <c r="J92" i="2"/>
  <c r="J91" i="2"/>
  <c r="J89" i="2"/>
  <c r="J88" i="2"/>
  <c r="J87" i="2"/>
  <c r="B94" i="2"/>
  <c r="B93" i="2"/>
  <c r="B92" i="2"/>
  <c r="B91" i="2"/>
  <c r="B89" i="2"/>
  <c r="B87" i="2"/>
  <c r="P16" i="2" l="1"/>
  <c r="T16" i="2"/>
  <c r="D39" i="2" s="1"/>
  <c r="E39" i="2" s="1"/>
  <c r="M16" i="2"/>
  <c r="R68" i="2"/>
  <c r="R62" i="2"/>
  <c r="D33" i="2" l="1"/>
  <c r="E33" i="2" s="1"/>
  <c r="D35" i="2"/>
  <c r="E35" i="2" s="1"/>
  <c r="D34" i="2"/>
  <c r="E34" i="2" s="1"/>
  <c r="D28" i="2"/>
  <c r="E28" i="2" s="1"/>
  <c r="D36" i="2"/>
  <c r="E36" i="2" s="1"/>
  <c r="D29" i="2"/>
  <c r="E29" i="2" s="1"/>
  <c r="D37" i="2"/>
  <c r="E37" i="2" s="1"/>
  <c r="D32" i="2"/>
  <c r="E32" i="2" s="1"/>
  <c r="D30" i="2"/>
  <c r="E30" i="2" s="1"/>
  <c r="D38" i="2"/>
  <c r="E38" i="2" s="1"/>
  <c r="D40" i="2"/>
  <c r="E40" i="2" s="1"/>
  <c r="D31" i="2"/>
  <c r="E31" i="2" s="1"/>
  <c r="D16" i="2"/>
  <c r="Y74" i="2"/>
  <c r="AA74" i="2" s="1"/>
  <c r="Y73" i="2"/>
  <c r="AA73" i="2" s="1"/>
  <c r="Y72" i="2"/>
  <c r="AA72" i="2" s="1"/>
  <c r="Y71" i="2"/>
  <c r="AA71" i="2" s="1"/>
  <c r="Y70" i="2"/>
  <c r="AA70" i="2" s="1"/>
  <c r="Y69" i="2"/>
  <c r="AA69" i="2" s="1"/>
  <c r="Y68" i="2"/>
  <c r="AA68" i="2" s="1"/>
  <c r="Y67" i="2"/>
  <c r="AA67" i="2" s="1"/>
  <c r="Y66" i="2"/>
  <c r="AA66" i="2" s="1"/>
  <c r="Y65" i="2"/>
  <c r="AA65" i="2" s="1"/>
  <c r="Y64" i="2"/>
  <c r="AA64" i="2" s="1"/>
  <c r="Y63" i="2"/>
  <c r="AA63" i="2" s="1"/>
  <c r="Y62" i="2"/>
  <c r="AA62" i="2" s="1"/>
  <c r="T62" i="2"/>
  <c r="R63" i="2"/>
  <c r="T63" i="2" s="1"/>
  <c r="R74" i="2"/>
  <c r="T74" i="2" s="1"/>
  <c r="R73" i="2"/>
  <c r="T73" i="2" s="1"/>
  <c r="R72" i="2"/>
  <c r="T72" i="2" s="1"/>
  <c r="R71" i="2"/>
  <c r="T71" i="2" s="1"/>
  <c r="R70" i="2"/>
  <c r="T70" i="2" s="1"/>
  <c r="R69" i="2"/>
  <c r="T69" i="2" s="1"/>
  <c r="T68" i="2"/>
  <c r="R67" i="2"/>
  <c r="T67" i="2" s="1"/>
  <c r="R66" i="2"/>
  <c r="T66" i="2" s="1"/>
  <c r="R65" i="2"/>
  <c r="T65" i="2" s="1"/>
  <c r="R64" i="2"/>
  <c r="T64" i="2" s="1"/>
  <c r="M62" i="2"/>
  <c r="O62" i="2" s="1"/>
  <c r="M74" i="2"/>
  <c r="O74" i="2" s="1"/>
  <c r="M73" i="2"/>
  <c r="O73" i="2" s="1"/>
  <c r="M72" i="2"/>
  <c r="O72" i="2" s="1"/>
  <c r="M71" i="2"/>
  <c r="O71" i="2" s="1"/>
  <c r="M70" i="2"/>
  <c r="O70" i="2" s="1"/>
  <c r="M69" i="2"/>
  <c r="O69" i="2" s="1"/>
  <c r="M68" i="2"/>
  <c r="O68" i="2" s="1"/>
  <c r="M67" i="2"/>
  <c r="O67" i="2" s="1"/>
  <c r="M66" i="2"/>
  <c r="O66" i="2" s="1"/>
  <c r="M65" i="2"/>
  <c r="O65" i="2" s="1"/>
  <c r="M64" i="2"/>
  <c r="O64" i="2" s="1"/>
  <c r="M63" i="2"/>
  <c r="O63" i="2" s="1"/>
  <c r="J16" i="2"/>
  <c r="I63" i="2"/>
  <c r="K63" i="2" s="1"/>
  <c r="I64" i="2"/>
  <c r="K64" i="2" s="1"/>
  <c r="I74" i="2"/>
  <c r="K74" i="2" s="1"/>
  <c r="I73" i="2"/>
  <c r="K73" i="2" s="1"/>
  <c r="I72" i="2"/>
  <c r="K72" i="2" s="1"/>
  <c r="I71" i="2"/>
  <c r="K71" i="2" s="1"/>
  <c r="I70" i="2"/>
  <c r="K70" i="2" s="1"/>
  <c r="I69" i="2"/>
  <c r="K69" i="2" s="1"/>
  <c r="I68" i="2"/>
  <c r="K68" i="2" s="1"/>
  <c r="I67" i="2"/>
  <c r="K67" i="2" s="1"/>
  <c r="I66" i="2"/>
  <c r="K66" i="2" s="1"/>
  <c r="I65" i="2"/>
  <c r="K65" i="2" s="1"/>
  <c r="I62" i="2"/>
  <c r="K62" i="2" s="1"/>
  <c r="B74" i="2"/>
  <c r="D74" i="2" s="1"/>
  <c r="B73" i="2"/>
  <c r="D73" i="2" s="1"/>
  <c r="B72" i="2"/>
  <c r="D72" i="2" s="1"/>
  <c r="B71" i="2"/>
  <c r="D71" i="2" s="1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62" i="2" s="1"/>
  <c r="E41" i="2" l="1"/>
  <c r="E43" i="2" s="1"/>
  <c r="T75" i="2"/>
  <c r="T77" i="2" s="1"/>
  <c r="T79" i="2" s="1"/>
  <c r="O75" i="2"/>
  <c r="O77" i="2" s="1"/>
  <c r="K75" i="2"/>
  <c r="K77" i="2" s="1"/>
  <c r="AA75" i="2"/>
  <c r="AA77" i="2" s="1"/>
  <c r="D75" i="2"/>
  <c r="D77" i="2" s="1"/>
  <c r="G16" i="2"/>
  <c r="O79" i="2" l="1"/>
  <c r="AA79" i="2"/>
  <c r="D79" i="2"/>
  <c r="B88" i="2" s="1"/>
  <c r="K79" i="2"/>
</calcChain>
</file>

<file path=xl/sharedStrings.xml><?xml version="1.0" encoding="utf-8"?>
<sst xmlns="http://schemas.openxmlformats.org/spreadsheetml/2006/main" count="110" uniqueCount="54">
  <si>
    <t>Date</t>
  </si>
  <si>
    <t>Change %</t>
  </si>
  <si>
    <t>Price CEAT</t>
  </si>
  <si>
    <t>Price BLKI</t>
  </si>
  <si>
    <t>Price MRF</t>
  </si>
  <si>
    <t>Price Appolo</t>
  </si>
  <si>
    <t>Price VIAZ Tyre</t>
  </si>
  <si>
    <t>Price NIFTY 50</t>
  </si>
  <si>
    <t>RM-RM(MEAN)</t>
  </si>
  <si>
    <t>SQUARE</t>
  </si>
  <si>
    <t>VARIANCE</t>
  </si>
  <si>
    <t>RA-RA(MEAN)</t>
  </si>
  <si>
    <t>SUM</t>
  </si>
  <si>
    <t>COVARIANCE</t>
  </si>
  <si>
    <t>BETA</t>
  </si>
  <si>
    <t>RB-RB(MEAN)</t>
  </si>
  <si>
    <t>`</t>
  </si>
  <si>
    <t>CALCULATION OF MARKET RETURN</t>
  </si>
  <si>
    <t>Stock A -CEAT</t>
  </si>
  <si>
    <t xml:space="preserve">AVG/MEAN OF </t>
  </si>
  <si>
    <t>MARKET RETURN  (RM) MEAN</t>
  </si>
  <si>
    <t>MEAN OF CEAT</t>
  </si>
  <si>
    <t>RA-RA(MEAN) * RM-RM(MEAN)</t>
  </si>
  <si>
    <t>BETA OF STOCK A</t>
  </si>
  <si>
    <t>STOCK B-BLKI</t>
  </si>
  <si>
    <t>MARKET RETURN (RM) MEAN</t>
  </si>
  <si>
    <t>MEAN OF  BLKI</t>
  </si>
  <si>
    <t>RB-RB(MEAN) * RM-RM(MEAN)</t>
  </si>
  <si>
    <t>STOCK C - MRF</t>
  </si>
  <si>
    <t>MEAN OF  MRF</t>
  </si>
  <si>
    <t>RC-RC(MEAN)</t>
  </si>
  <si>
    <t>RC-RC(MEAN) * RM-RM(MEAN)</t>
  </si>
  <si>
    <t>MEAN OF APPOLO</t>
  </si>
  <si>
    <t>RD-RD(MEAN)</t>
  </si>
  <si>
    <t>RD-RD(MEAN) * RM-RM(MEAN)</t>
  </si>
  <si>
    <t xml:space="preserve">COVARIANCE </t>
  </si>
  <si>
    <t xml:space="preserve">BETA </t>
  </si>
  <si>
    <t>STOCK E-VIAZ TYRES</t>
  </si>
  <si>
    <t>MEAN OF VIAZ TYRE</t>
  </si>
  <si>
    <t>RE-RE(MEAN)</t>
  </si>
  <si>
    <t>RE-RE(MEAN) * RM-RM(MEAN)</t>
  </si>
  <si>
    <t>STOCK D-APOLLO</t>
  </si>
  <si>
    <t>CALCULATION OF EXPECTED RETURN</t>
  </si>
  <si>
    <t>RISK FREE RATE</t>
  </si>
  <si>
    <t>Erm</t>
  </si>
  <si>
    <t>ERm-Rf</t>
  </si>
  <si>
    <t>ERm-Rf)*beta</t>
  </si>
  <si>
    <t>ER</t>
  </si>
  <si>
    <t>ER %</t>
  </si>
  <si>
    <t xml:space="preserve">CORRELATION OF CEAT WITH NIFTY 50 </t>
  </si>
  <si>
    <t xml:space="preserve">CORRELATION OF BLKI WITH NIFTY 50 </t>
  </si>
  <si>
    <t xml:space="preserve">CORRELATION OF MRF WITH NIFTY 50 </t>
  </si>
  <si>
    <t xml:space="preserve">CORRELATION OF APOLLO WITH NIFTY 50 </t>
  </si>
  <si>
    <t xml:space="preserve">CORRELATION OF VIAZ TYRE WITH NIFTY 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</si>
</sst>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%"/>
    <numFmt numFmtId="165" formatCode="0.0000%"/>
    <numFmt numFmtId="166" formatCode="0.0000"/>
    <numFmt numFmtId="167" formatCode="0.000000"/>
    <numFmt numFmtId="168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0E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FF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NumberFormat="1"/>
    <xf numFmtId="0" fontId="20" fillId="0" borderId="0" xfId="0" applyFont="1" applyAlignment="1">
      <alignment vertical="center"/>
    </xf>
    <xf numFmtId="0" fontId="0" fillId="33" borderId="0" xfId="0" applyFill="1" applyBorder="1"/>
    <xf numFmtId="4" fontId="0" fillId="0" borderId="0" xfId="0" applyNumberFormat="1" applyBorder="1" applyAlignment="1">
      <alignment horizontal="center"/>
    </xf>
    <xf numFmtId="10" fontId="0" fillId="0" borderId="0" xfId="0" applyNumberFormat="1" applyBorder="1"/>
    <xf numFmtId="10" fontId="0" fillId="0" borderId="10" xfId="0" applyNumberFormat="1" applyBorder="1"/>
    <xf numFmtId="0" fontId="0" fillId="34" borderId="0" xfId="0" applyFill="1" applyBorder="1"/>
    <xf numFmtId="0" fontId="0" fillId="44" borderId="0" xfId="0" applyFill="1"/>
    <xf numFmtId="0" fontId="0" fillId="44" borderId="0" xfId="0" applyFill="1" applyBorder="1"/>
    <xf numFmtId="10" fontId="0" fillId="45" borderId="0" xfId="0" applyNumberFormat="1" applyFill="1" applyBorder="1"/>
    <xf numFmtId="0" fontId="0" fillId="43" borderId="0" xfId="0" applyFill="1" applyBorder="1"/>
    <xf numFmtId="0" fontId="0" fillId="0" borderId="0" xfId="0" applyBorder="1"/>
    <xf numFmtId="0" fontId="0" fillId="45" borderId="0" xfId="0" applyFill="1" applyBorder="1"/>
    <xf numFmtId="0" fontId="0" fillId="45" borderId="0" xfId="0" applyFill="1"/>
    <xf numFmtId="14" fontId="0" fillId="45" borderId="0" xfId="0" applyNumberFormat="1" applyFill="1"/>
    <xf numFmtId="10" fontId="0" fillId="45" borderId="0" xfId="0" applyNumberFormat="1" applyFill="1"/>
    <xf numFmtId="0" fontId="0" fillId="46" borderId="10" xfId="0" applyFill="1" applyBorder="1"/>
    <xf numFmtId="0" fontId="0" fillId="40" borderId="0" xfId="0" applyFill="1" applyBorder="1"/>
    <xf numFmtId="14" fontId="0" fillId="0" borderId="0" xfId="0" applyNumberFormat="1" applyBorder="1"/>
    <xf numFmtId="0" fontId="0" fillId="42" borderId="0" xfId="0" applyFill="1" applyBorder="1"/>
    <xf numFmtId="0" fontId="0" fillId="36" borderId="0" xfId="0" applyFill="1" applyBorder="1"/>
    <xf numFmtId="0" fontId="0" fillId="38" borderId="0" xfId="0" applyFill="1" applyBorder="1"/>
    <xf numFmtId="4" fontId="0" fillId="0" borderId="0" xfId="0" applyNumberFormat="1" applyBorder="1"/>
    <xf numFmtId="165" fontId="0" fillId="45" borderId="0" xfId="42" applyNumberFormat="1" applyFont="1" applyFill="1"/>
    <xf numFmtId="0" fontId="0" fillId="45" borderId="0" xfId="0" applyFill="1" applyAlignment="1">
      <alignment horizontal="center"/>
    </xf>
    <xf numFmtId="10" fontId="0" fillId="45" borderId="0" xfId="0" applyNumberFormat="1" applyFill="1" applyAlignment="1">
      <alignment horizontal="center"/>
    </xf>
    <xf numFmtId="164" fontId="0" fillId="45" borderId="0" xfId="0" applyNumberFormat="1" applyFill="1"/>
    <xf numFmtId="0" fontId="0" fillId="45" borderId="0" xfId="42" applyNumberFormat="1" applyFont="1" applyFill="1"/>
    <xf numFmtId="0" fontId="0" fillId="45" borderId="0" xfId="0" applyNumberFormat="1" applyFill="1"/>
    <xf numFmtId="166" fontId="0" fillId="45" borderId="0" xfId="0" applyNumberFormat="1" applyFill="1"/>
    <xf numFmtId="0" fontId="0" fillId="33" borderId="19" xfId="0" applyFill="1" applyBorder="1"/>
    <xf numFmtId="0" fontId="0" fillId="33" borderId="20" xfId="42" applyNumberFormat="1" applyFont="1" applyFill="1" applyBorder="1"/>
    <xf numFmtId="0" fontId="0" fillId="37" borderId="22" xfId="0" applyFill="1" applyBorder="1" applyAlignment="1">
      <alignment horizontal="center"/>
    </xf>
    <xf numFmtId="0" fontId="0" fillId="37" borderId="23" xfId="0" applyFill="1" applyBorder="1"/>
    <xf numFmtId="10" fontId="0" fillId="37" borderId="24" xfId="0" applyNumberFormat="1" applyFill="1" applyBorder="1" applyAlignment="1">
      <alignment horizontal="center"/>
    </xf>
    <xf numFmtId="10" fontId="0" fillId="37" borderId="25" xfId="0" applyNumberFormat="1" applyFill="1" applyBorder="1"/>
    <xf numFmtId="164" fontId="0" fillId="37" borderId="25" xfId="0" applyNumberFormat="1" applyFill="1" applyBorder="1"/>
    <xf numFmtId="0" fontId="0" fillId="0" borderId="26" xfId="0" applyBorder="1"/>
    <xf numFmtId="10" fontId="0" fillId="0" borderId="27" xfId="0" applyNumberFormat="1" applyBorder="1"/>
    <xf numFmtId="10" fontId="0" fillId="0" borderId="21" xfId="42" applyNumberFormat="1" applyFont="1" applyBorder="1"/>
    <xf numFmtId="2" fontId="0" fillId="45" borderId="0" xfId="0" applyNumberFormat="1" applyFill="1"/>
    <xf numFmtId="10" fontId="0" fillId="45" borderId="0" xfId="42" applyNumberFormat="1" applyFont="1" applyFill="1"/>
    <xf numFmtId="10" fontId="0" fillId="45" borderId="0" xfId="42" applyNumberFormat="1" applyFont="1" applyFill="1" applyBorder="1"/>
    <xf numFmtId="166" fontId="0" fillId="45" borderId="0" xfId="42" applyNumberFormat="1" applyFont="1" applyFill="1"/>
    <xf numFmtId="10" fontId="0" fillId="0" borderId="22" xfId="42" applyNumberFormat="1" applyFont="1" applyBorder="1"/>
    <xf numFmtId="10" fontId="0" fillId="0" borderId="28" xfId="42" applyNumberFormat="1" applyFont="1" applyBorder="1"/>
    <xf numFmtId="10" fontId="0" fillId="0" borderId="23" xfId="42" applyNumberFormat="1" applyFont="1" applyBorder="1"/>
    <xf numFmtId="10" fontId="0" fillId="0" borderId="24" xfId="42" applyNumberFormat="1" applyFont="1" applyBorder="1"/>
    <xf numFmtId="10" fontId="0" fillId="0" borderId="25" xfId="42" applyNumberFormat="1" applyFont="1" applyBorder="1"/>
    <xf numFmtId="164" fontId="0" fillId="0" borderId="25" xfId="42" applyNumberFormat="1" applyFont="1" applyBorder="1"/>
    <xf numFmtId="10" fontId="0" fillId="0" borderId="26" xfId="42" applyNumberFormat="1" applyFont="1" applyBorder="1"/>
    <xf numFmtId="10" fontId="0" fillId="0" borderId="29" xfId="42" applyNumberFormat="1" applyFont="1" applyBorder="1"/>
    <xf numFmtId="10" fontId="0" fillId="0" borderId="27" xfId="42" applyNumberFormat="1" applyFont="1" applyBorder="1"/>
    <xf numFmtId="0" fontId="0" fillId="0" borderId="28" xfId="0" applyBorder="1"/>
    <xf numFmtId="10" fontId="0" fillId="0" borderId="25" xfId="0" applyNumberFormat="1" applyBorder="1"/>
    <xf numFmtId="0" fontId="0" fillId="0" borderId="29" xfId="0" applyBorder="1"/>
    <xf numFmtId="0" fontId="20" fillId="45" borderId="0" xfId="0" applyFont="1" applyFill="1" applyAlignment="1">
      <alignment vertical="center"/>
    </xf>
    <xf numFmtId="168" fontId="0" fillId="45" borderId="0" xfId="0" applyNumberFormat="1" applyFill="1" applyBorder="1"/>
    <xf numFmtId="10" fontId="0" fillId="0" borderId="30" xfId="42" applyNumberFormat="1" applyFont="1" applyBorder="1"/>
    <xf numFmtId="0" fontId="0" fillId="0" borderId="31" xfId="42" applyNumberFormat="1" applyFont="1" applyBorder="1"/>
    <xf numFmtId="0" fontId="0" fillId="0" borderId="30" xfId="0" applyBorder="1"/>
    <xf numFmtId="0" fontId="0" fillId="0" borderId="31" xfId="0" applyBorder="1"/>
    <xf numFmtId="167" fontId="0" fillId="0" borderId="31" xfId="0" applyNumberFormat="1" applyBorder="1"/>
    <xf numFmtId="166" fontId="0" fillId="0" borderId="31" xfId="0" applyNumberFormat="1" applyBorder="1"/>
    <xf numFmtId="10" fontId="0" fillId="0" borderId="24" xfId="0" applyNumberFormat="1" applyBorder="1"/>
    <xf numFmtId="164" fontId="0" fillId="0" borderId="25" xfId="0" applyNumberFormat="1" applyBorder="1"/>
    <xf numFmtId="164" fontId="0" fillId="0" borderId="27" xfId="0" applyNumberFormat="1" applyBorder="1"/>
    <xf numFmtId="168" fontId="0" fillId="0" borderId="31" xfId="0" applyNumberFormat="1" applyBorder="1"/>
    <xf numFmtId="0" fontId="21" fillId="45" borderId="0" xfId="0" applyFont="1" applyFill="1" applyBorder="1" applyAlignment="1">
      <alignment vertical="center"/>
    </xf>
    <xf numFmtId="0" fontId="20" fillId="45" borderId="0" xfId="0" applyFont="1" applyFill="1" applyBorder="1" applyAlignment="1">
      <alignment horizontal="center" vertical="center"/>
    </xf>
    <xf numFmtId="0" fontId="20" fillId="45" borderId="0" xfId="0" applyFont="1" applyFill="1" applyBorder="1" applyAlignment="1">
      <alignment vertical="center"/>
    </xf>
    <xf numFmtId="10" fontId="0" fillId="45" borderId="22" xfId="42" applyNumberFormat="1" applyFont="1" applyFill="1" applyBorder="1"/>
    <xf numFmtId="10" fontId="0" fillId="45" borderId="23" xfId="42" applyNumberFormat="1" applyFont="1" applyFill="1" applyBorder="1"/>
    <xf numFmtId="10" fontId="0" fillId="45" borderId="26" xfId="42" applyNumberFormat="1" applyFont="1" applyFill="1" applyBorder="1"/>
    <xf numFmtId="10" fontId="0" fillId="45" borderId="27" xfId="0" applyNumberFormat="1" applyFill="1" applyBorder="1"/>
    <xf numFmtId="10" fontId="0" fillId="0" borderId="32" xfId="42" applyNumberFormat="1" applyFont="1" applyBorder="1"/>
    <xf numFmtId="10" fontId="0" fillId="0" borderId="33" xfId="0" applyNumberFormat="1" applyBorder="1"/>
    <xf numFmtId="0" fontId="20" fillId="44" borderId="0" xfId="0" applyFont="1" applyFill="1" applyBorder="1" applyAlignment="1">
      <alignment vertical="center"/>
    </xf>
    <xf numFmtId="10" fontId="0" fillId="44" borderId="0" xfId="0" applyNumberFormat="1" applyFill="1"/>
    <xf numFmtId="0" fontId="19" fillId="44" borderId="0" xfId="0" applyFont="1" applyFill="1" applyAlignment="1">
      <alignment vertical="center"/>
    </xf>
    <xf numFmtId="0" fontId="0" fillId="33" borderId="0" xfId="0" applyFill="1"/>
    <xf numFmtId="0" fontId="18" fillId="33" borderId="0" xfId="0" applyFont="1" applyFill="1"/>
    <xf numFmtId="0" fontId="18" fillId="44" borderId="0" xfId="0" applyFont="1" applyFill="1"/>
    <xf numFmtId="0" fontId="22" fillId="33" borderId="0" xfId="0" applyFont="1" applyFill="1"/>
    <xf numFmtId="0" fontId="23" fillId="45" borderId="0" xfId="0" applyFont="1" applyFill="1"/>
    <xf numFmtId="166" fontId="23" fillId="45" borderId="0" xfId="0" applyNumberFormat="1" applyFont="1" applyFill="1"/>
    <xf numFmtId="0" fontId="23" fillId="44" borderId="0" xfId="0" applyFont="1" applyFill="1"/>
    <xf numFmtId="166" fontId="23" fillId="44" borderId="0" xfId="0" applyNumberFormat="1" applyFont="1" applyFill="1"/>
    <xf numFmtId="0" fontId="24" fillId="0" borderId="34" xfId="0" applyFont="1" applyBorder="1"/>
    <xf numFmtId="168" fontId="25" fillId="0" borderId="34" xfId="0" applyNumberFormat="1" applyFont="1" applyBorder="1"/>
    <xf numFmtId="2" fontId="25" fillId="0" borderId="34" xfId="0" applyNumberFormat="1" applyFont="1" applyBorder="1"/>
    <xf numFmtId="0" fontId="0" fillId="45" borderId="0" xfId="0" applyFont="1" applyFill="1"/>
    <xf numFmtId="0" fontId="0" fillId="33" borderId="0" xfId="0" applyFont="1" applyFill="1"/>
    <xf numFmtId="0" fontId="0" fillId="44" borderId="0" xfId="0" applyFont="1" applyFill="1"/>
    <xf numFmtId="166" fontId="25" fillId="0" borderId="34" xfId="0" applyNumberFormat="1" applyFont="1" applyBorder="1"/>
    <xf numFmtId="0" fontId="0" fillId="0" borderId="0" xfId="0" applyFont="1" applyFill="1"/>
    <xf numFmtId="0" fontId="18" fillId="0" borderId="0" xfId="0" applyFont="1" applyFill="1"/>
    <xf numFmtId="0" fontId="20" fillId="41" borderId="11" xfId="0" applyFont="1" applyFill="1" applyBorder="1" applyAlignment="1">
      <alignment horizontal="center" vertical="center"/>
    </xf>
    <xf numFmtId="0" fontId="20" fillId="41" borderId="17" xfId="0" applyFont="1" applyFill="1" applyBorder="1" applyAlignment="1">
      <alignment horizontal="center" vertical="center"/>
    </xf>
    <xf numFmtId="0" fontId="20" fillId="41" borderId="12" xfId="0" applyFont="1" applyFill="1" applyBorder="1" applyAlignment="1">
      <alignment horizontal="center" vertical="center"/>
    </xf>
    <xf numFmtId="0" fontId="20" fillId="41" borderId="13" xfId="0" applyFont="1" applyFill="1" applyBorder="1" applyAlignment="1">
      <alignment horizontal="center" vertical="center"/>
    </xf>
    <xf numFmtId="0" fontId="20" fillId="41" borderId="0" xfId="0" applyFont="1" applyFill="1" applyBorder="1" applyAlignment="1">
      <alignment horizontal="center" vertical="center"/>
    </xf>
    <xf numFmtId="0" fontId="20" fillId="41" borderId="14" xfId="0" applyFont="1" applyFill="1" applyBorder="1" applyAlignment="1">
      <alignment horizontal="center" vertical="center"/>
    </xf>
    <xf numFmtId="0" fontId="20" fillId="41" borderId="15" xfId="0" applyFont="1" applyFill="1" applyBorder="1" applyAlignment="1">
      <alignment horizontal="center" vertical="center"/>
    </xf>
    <xf numFmtId="0" fontId="20" fillId="41" borderId="18" xfId="0" applyFont="1" applyFill="1" applyBorder="1" applyAlignment="1">
      <alignment horizontal="center" vertical="center"/>
    </xf>
    <xf numFmtId="0" fontId="20" fillId="41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39" borderId="17" xfId="0" applyFont="1" applyFill="1" applyBorder="1" applyAlignment="1">
      <alignment horizontal="center" vertical="center"/>
    </xf>
    <xf numFmtId="0" fontId="21" fillId="39" borderId="12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1" fillId="39" borderId="0" xfId="0" applyFont="1" applyFill="1" applyBorder="1" applyAlignment="1">
      <alignment horizontal="center" vertical="center"/>
    </xf>
    <xf numFmtId="0" fontId="21" fillId="39" borderId="14" xfId="0" applyFont="1" applyFill="1" applyBorder="1" applyAlignment="1">
      <alignment horizontal="center" vertical="center"/>
    </xf>
    <xf numFmtId="0" fontId="21" fillId="39" borderId="15" xfId="0" applyFont="1" applyFill="1" applyBorder="1" applyAlignment="1">
      <alignment horizontal="center" vertical="center"/>
    </xf>
    <xf numFmtId="0" fontId="21" fillId="39" borderId="18" xfId="0" applyFont="1" applyFill="1" applyBorder="1" applyAlignment="1">
      <alignment horizontal="center" vertical="center"/>
    </xf>
    <xf numFmtId="0" fontId="21" fillId="39" borderId="16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20" fillId="35" borderId="0" xfId="0" applyFont="1" applyFill="1" applyBorder="1" applyAlignment="1">
      <alignment horizontal="center" vertical="center"/>
    </xf>
    <xf numFmtId="0" fontId="20" fillId="35" borderId="14" xfId="0" applyFont="1" applyFill="1" applyBorder="1" applyAlignment="1">
      <alignment horizontal="center" vertical="center"/>
    </xf>
    <xf numFmtId="0" fontId="20" fillId="35" borderId="15" xfId="0" applyFont="1" applyFill="1" applyBorder="1" applyAlignment="1">
      <alignment horizontal="center" vertical="center"/>
    </xf>
    <xf numFmtId="0" fontId="20" fillId="35" borderId="18" xfId="0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47" borderId="11" xfId="0" applyFont="1" applyFill="1" applyBorder="1" applyAlignment="1">
      <alignment horizontal="center" vertical="center"/>
    </xf>
    <xf numFmtId="0" fontId="20" fillId="47" borderId="17" xfId="0" applyFont="1" applyFill="1" applyBorder="1" applyAlignment="1">
      <alignment horizontal="center" vertical="center"/>
    </xf>
    <xf numFmtId="0" fontId="20" fillId="47" borderId="12" xfId="0" applyFont="1" applyFill="1" applyBorder="1" applyAlignment="1">
      <alignment horizontal="center" vertical="center"/>
    </xf>
    <xf numFmtId="0" fontId="20" fillId="47" borderId="13" xfId="0" applyFont="1" applyFill="1" applyBorder="1" applyAlignment="1">
      <alignment horizontal="center" vertical="center"/>
    </xf>
    <xf numFmtId="0" fontId="20" fillId="47" borderId="0" xfId="0" applyFont="1" applyFill="1" applyBorder="1" applyAlignment="1">
      <alignment horizontal="center" vertical="center"/>
    </xf>
    <xf numFmtId="0" fontId="20" fillId="47" borderId="14" xfId="0" applyFont="1" applyFill="1" applyBorder="1" applyAlignment="1">
      <alignment horizontal="center" vertical="center"/>
    </xf>
    <xf numFmtId="0" fontId="20" fillId="47" borderId="15" xfId="0" applyFont="1" applyFill="1" applyBorder="1" applyAlignment="1">
      <alignment horizontal="center" vertical="center"/>
    </xf>
    <xf numFmtId="0" fontId="20" fillId="47" borderId="18" xfId="0" applyFon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center" vertical="center"/>
    </xf>
    <xf numFmtId="0" fontId="20" fillId="48" borderId="11" xfId="0" applyFont="1" applyFill="1" applyBorder="1" applyAlignment="1">
      <alignment horizontal="center" vertical="center"/>
    </xf>
    <xf numFmtId="0" fontId="20" fillId="48" borderId="17" xfId="0" applyFont="1" applyFill="1" applyBorder="1" applyAlignment="1">
      <alignment horizontal="center" vertical="center"/>
    </xf>
    <xf numFmtId="0" fontId="20" fillId="48" borderId="12" xfId="0" applyFont="1" applyFill="1" applyBorder="1" applyAlignment="1">
      <alignment horizontal="center" vertical="center"/>
    </xf>
    <xf numFmtId="0" fontId="20" fillId="48" borderId="13" xfId="0" applyFont="1" applyFill="1" applyBorder="1" applyAlignment="1">
      <alignment horizontal="center" vertical="center"/>
    </xf>
    <xf numFmtId="0" fontId="20" fillId="48" borderId="0" xfId="0" applyFont="1" applyFill="1" applyBorder="1" applyAlignment="1">
      <alignment horizontal="center" vertical="center"/>
    </xf>
    <xf numFmtId="0" fontId="20" fillId="48" borderId="14" xfId="0" applyFont="1" applyFill="1" applyBorder="1" applyAlignment="1">
      <alignment horizontal="center" vertical="center"/>
    </xf>
    <xf numFmtId="0" fontId="20" fillId="48" borderId="15" xfId="0" applyFont="1" applyFill="1" applyBorder="1" applyAlignment="1">
      <alignment horizontal="center" vertical="center"/>
    </xf>
    <xf numFmtId="0" fontId="20" fillId="48" borderId="18" xfId="0" applyFont="1" applyFill="1" applyBorder="1" applyAlignment="1">
      <alignment horizontal="center" vertical="center"/>
    </xf>
    <xf numFmtId="0" fontId="20" fillId="48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9" formatCode="dd/mm/yyyy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DC0EF2"/>
        </patternFill>
      </fill>
    </dxf>
    <dxf>
      <numFmt numFmtId="14" formatCode="0.00%"/>
    </dxf>
    <dxf>
      <numFmt numFmtId="4" formatCode="#,##0.0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00B050"/>
        </patternFill>
      </fill>
    </dxf>
    <dxf>
      <numFmt numFmtId="14" formatCode="0.00%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6" tint="-0.249977111117893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numFmt numFmtId="14" formatCode="0.00%"/>
    </dxf>
    <dxf>
      <numFmt numFmtId="4" formatCode="#,##0.00"/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92D050"/>
        </patternFill>
      </fill>
    </dxf>
    <dxf>
      <numFmt numFmtId="14" formatCode="0.00%"/>
    </dxf>
    <dxf>
      <numFmt numFmtId="4" formatCode="#,##0.00"/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FF66FF"/>
      <color rgb="FF00FF00"/>
      <color rgb="FFFFFFFF"/>
      <color rgb="FFDC0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C1:D14" totalsRowShown="0" headerRowDxfId="21" tableBorderDxfId="20">
  <autoFilter ref="C1:D14"/>
  <tableColumns count="2">
    <tableColumn id="1" name="Price CEAT" dataDxfId="19"/>
    <tableColumn id="2" name="Change %" dataDxfId="18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F1:G14" totalsRowShown="0" headerRowDxfId="17" tableBorderDxfId="16">
  <autoFilter ref="F1:G14"/>
  <tableColumns count="2">
    <tableColumn id="1" name="Price BLKI" dataDxfId="15"/>
    <tableColumn id="2" name="Change %" dataDxfId="1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I1:J14" totalsRowShown="0" headerRowDxfId="13" tableBorderDxfId="12">
  <autoFilter ref="I1:J14"/>
  <tableColumns count="2">
    <tableColumn id="1" name="Price MRF"/>
    <tableColumn id="2" name="Change %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L1:M14" totalsRowShown="0" headerRowDxfId="11" tableBorderDxfId="10">
  <autoFilter ref="L1:M14"/>
  <tableColumns count="2">
    <tableColumn id="1" name="Price Appolo"/>
    <tableColumn id="2" name="Change %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O1:P14" totalsRowShown="0" headerRowDxfId="9" tableBorderDxfId="8">
  <autoFilter ref="O1:P14"/>
  <tableColumns count="2">
    <tableColumn id="1" name="Price VIAZ Tyre"/>
    <tableColumn id="2" name="Change %" dataDxfId="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S1:T14" totalsRowShown="0" headerRowDxfId="6" tableBorderDxfId="5">
  <autoFilter ref="S1:T14"/>
  <tableColumns count="2">
    <tableColumn id="1" name="Price NIFTY 50" dataDxfId="4"/>
    <tableColumn id="2" name="Change %" dataDxfId="3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id="13" name="Table13" displayName="Table13" ref="A1:A14" totalsRowShown="0" headerRowDxfId="2" tableBorderDxfId="1">
  <autoFilter ref="A1:A14"/>
  <tableColumns count="1">
    <tableColumn id="1" name="Date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abSelected="1" zoomScale="30" workbookViewId="0">
      <selection activeCell="R117" sqref="R117"/>
    </sheetView>
  </sheetViews>
  <sheetFormatPr defaultColWidth="9.109375" defaultRowHeight="14.4" x14ac:dyDescent="0.3"/>
  <cols>
    <col min="1" max="1" width="22.44140625" style="11" customWidth="1"/>
    <col min="2" max="2" width="22.33203125" style="11" bestFit="1" customWidth="1"/>
    <col min="3" max="3" width="16.33203125" style="11" bestFit="1" customWidth="1"/>
    <col min="4" max="4" width="31.5546875" style="11" bestFit="1" customWidth="1"/>
    <col min="5" max="5" width="22.5546875" style="11" customWidth="1"/>
    <col min="6" max="6" width="20" style="11" customWidth="1"/>
    <col min="7" max="7" width="15.109375" style="11" customWidth="1"/>
    <col min="8" max="8" width="18.6640625" style="11" customWidth="1"/>
    <col min="9" max="9" width="32.44140625" style="11" customWidth="1"/>
    <col min="10" max="10" width="25" style="11" bestFit="1" customWidth="1"/>
    <col min="11" max="11" width="38.109375" style="11" bestFit="1" customWidth="1"/>
    <col min="12" max="12" width="16.5546875" style="11" customWidth="1"/>
    <col min="13" max="13" width="25.5546875" style="11" bestFit="1" customWidth="1"/>
    <col min="14" max="14" width="22.77734375" style="11" bestFit="1" customWidth="1"/>
    <col min="15" max="15" width="27.109375" style="11" bestFit="1" customWidth="1"/>
    <col min="16" max="16" width="21" style="11" customWidth="1"/>
    <col min="17" max="17" width="9.109375" style="11"/>
    <col min="18" max="18" width="47" style="11" bestFit="1" customWidth="1"/>
    <col min="19" max="19" width="25.5546875" style="11" bestFit="1" customWidth="1"/>
    <col min="20" max="20" width="27.109375" style="11" bestFit="1" customWidth="1"/>
    <col min="21" max="24" width="9.109375" style="11"/>
    <col min="25" max="25" width="25.5546875" style="11" bestFit="1" customWidth="1"/>
    <col min="26" max="26" width="22.77734375" style="11" bestFit="1" customWidth="1"/>
    <col min="27" max="27" width="35.6640625" style="11" bestFit="1" customWidth="1"/>
    <col min="28" max="16384" width="9.109375" style="11"/>
  </cols>
  <sheetData>
    <row r="1" spans="1:30" s="16" customFormat="1" x14ac:dyDescent="0.3">
      <c r="A1" s="21" t="s">
        <v>0</v>
      </c>
      <c r="B1" s="17"/>
      <c r="C1" s="6" t="s">
        <v>2</v>
      </c>
      <c r="D1" s="6" t="s">
        <v>1</v>
      </c>
      <c r="F1" s="10" t="s">
        <v>3</v>
      </c>
      <c r="G1" s="10" t="s">
        <v>1</v>
      </c>
      <c r="I1" s="14" t="s">
        <v>4</v>
      </c>
      <c r="J1" s="14" t="s">
        <v>1</v>
      </c>
      <c r="L1" s="23" t="s">
        <v>5</v>
      </c>
      <c r="M1" s="23" t="s">
        <v>1</v>
      </c>
      <c r="N1" s="17"/>
      <c r="O1" s="24" t="s">
        <v>6</v>
      </c>
      <c r="P1" s="24" t="s">
        <v>1</v>
      </c>
      <c r="Q1" s="17"/>
      <c r="R1" s="17"/>
      <c r="S1" s="25" t="s">
        <v>7</v>
      </c>
      <c r="T1" s="25" t="s">
        <v>1</v>
      </c>
      <c r="U1"/>
      <c r="V1"/>
      <c r="W1"/>
      <c r="X1"/>
      <c r="Y1"/>
      <c r="Z1"/>
      <c r="AA1"/>
      <c r="AB1"/>
      <c r="AC1"/>
      <c r="AD1"/>
    </row>
    <row r="2" spans="1:30" s="16" customFormat="1" x14ac:dyDescent="0.3">
      <c r="A2" s="22">
        <v>45658</v>
      </c>
      <c r="B2" s="18"/>
      <c r="C2" s="7">
        <v>2856.65</v>
      </c>
      <c r="D2" s="8">
        <v>-0.1162</v>
      </c>
      <c r="E2" s="13"/>
      <c r="F2" s="7">
        <v>2771.25</v>
      </c>
      <c r="G2" s="8">
        <v>-4.7699999999999999E-2</v>
      </c>
      <c r="H2" s="13"/>
      <c r="I2" s="15">
        <v>113632.5</v>
      </c>
      <c r="J2" s="15">
        <v>-0.13020000000000001</v>
      </c>
      <c r="L2" s="15">
        <v>437.3</v>
      </c>
      <c r="M2" s="15">
        <v>-0.17399999999999999</v>
      </c>
      <c r="N2" s="17"/>
      <c r="O2" s="15">
        <v>63.75</v>
      </c>
      <c r="P2" s="8">
        <v>-5.0599999999999999E-2</v>
      </c>
      <c r="Q2" s="19"/>
      <c r="R2" s="19"/>
      <c r="S2" s="26">
        <v>23508.400000000001</v>
      </c>
      <c r="T2" s="8">
        <v>-5.7999999999999996E-3</v>
      </c>
      <c r="U2" s="17"/>
      <c r="V2" s="19"/>
      <c r="W2" s="17"/>
      <c r="X2" s="17"/>
      <c r="Y2" s="17"/>
      <c r="Z2" s="17"/>
      <c r="AA2" s="17"/>
      <c r="AB2" s="17"/>
      <c r="AC2" s="17"/>
      <c r="AD2" s="17"/>
    </row>
    <row r="3" spans="1:30" s="16" customFormat="1" x14ac:dyDescent="0.3">
      <c r="A3" s="22">
        <v>45627</v>
      </c>
      <c r="B3" s="18"/>
      <c r="C3" s="7">
        <v>3232.35</v>
      </c>
      <c r="D3" s="8">
        <v>5.0099999999999999E-2</v>
      </c>
      <c r="E3" s="13"/>
      <c r="F3" s="7">
        <v>2910.1</v>
      </c>
      <c r="G3" s="8">
        <v>4.6699999999999998E-2</v>
      </c>
      <c r="H3" s="13"/>
      <c r="I3" s="15">
        <v>130634.85</v>
      </c>
      <c r="J3" s="15">
        <v>4.2999999999999997E-2</v>
      </c>
      <c r="L3" s="15">
        <v>529.4</v>
      </c>
      <c r="M3" s="15">
        <v>3.8800000000000001E-2</v>
      </c>
      <c r="N3" s="17"/>
      <c r="O3" s="15">
        <v>67.150000000000006</v>
      </c>
      <c r="P3" s="8">
        <v>1.21E-2</v>
      </c>
      <c r="Q3" s="19"/>
      <c r="R3" s="19"/>
      <c r="S3" s="26">
        <v>23644.799999999999</v>
      </c>
      <c r="T3" s="8">
        <v>-2.0199999999999999E-2</v>
      </c>
      <c r="U3" s="17"/>
      <c r="V3" s="19"/>
      <c r="W3" s="17"/>
      <c r="X3" s="17"/>
      <c r="Y3" s="17"/>
      <c r="Z3" s="17"/>
      <c r="AA3" s="17"/>
      <c r="AB3" s="17"/>
      <c r="AC3" s="17"/>
      <c r="AD3" s="17"/>
    </row>
    <row r="4" spans="1:30" s="16" customFormat="1" x14ac:dyDescent="0.3">
      <c r="A4" s="22">
        <v>45597</v>
      </c>
      <c r="B4" s="18"/>
      <c r="C4" s="7">
        <v>3078.15</v>
      </c>
      <c r="D4" s="8">
        <v>9.7000000000000003E-2</v>
      </c>
      <c r="E4" s="13"/>
      <c r="F4" s="7">
        <v>2780.15</v>
      </c>
      <c r="G4" s="8">
        <v>-2.0199999999999999E-2</v>
      </c>
      <c r="H4" s="13"/>
      <c r="I4" s="15">
        <v>125251.3</v>
      </c>
      <c r="J4" s="15">
        <v>2.23E-2</v>
      </c>
      <c r="L4" s="15">
        <v>509.65</v>
      </c>
      <c r="M4" s="15">
        <v>9.2999999999999992E-3</v>
      </c>
      <c r="N4" s="17"/>
      <c r="O4" s="15">
        <v>66.349999999999994</v>
      </c>
      <c r="P4" s="8">
        <v>5.3199999999999997E-2</v>
      </c>
      <c r="Q4" s="19"/>
      <c r="R4" s="19"/>
      <c r="S4" s="26">
        <v>24131.1</v>
      </c>
      <c r="T4" s="8">
        <v>-3.0999999999999999E-3</v>
      </c>
      <c r="U4" s="17"/>
      <c r="V4" s="19"/>
      <c r="W4" s="17"/>
      <c r="X4" s="17"/>
      <c r="Y4" s="17"/>
      <c r="Z4" s="17"/>
      <c r="AA4" s="17"/>
      <c r="AB4" s="17"/>
      <c r="AC4" s="17"/>
      <c r="AD4" s="17"/>
    </row>
    <row r="5" spans="1:30" s="16" customFormat="1" x14ac:dyDescent="0.3">
      <c r="A5" s="22">
        <v>45566</v>
      </c>
      <c r="B5" s="18"/>
      <c r="C5" s="7">
        <v>2805.9</v>
      </c>
      <c r="D5" s="8">
        <v>-0.1106</v>
      </c>
      <c r="E5" s="13"/>
      <c r="F5" s="7">
        <v>2837.45</v>
      </c>
      <c r="G5" s="8">
        <v>-6.9699999999999998E-2</v>
      </c>
      <c r="H5" s="13"/>
      <c r="I5" s="15">
        <v>122524.45</v>
      </c>
      <c r="J5" s="15">
        <v>-0.1154</v>
      </c>
      <c r="L5" s="15">
        <v>504.95</v>
      </c>
      <c r="M5" s="15">
        <v>-7.8299999999999995E-2</v>
      </c>
      <c r="N5" s="17"/>
      <c r="O5" s="15">
        <v>63</v>
      </c>
      <c r="P5" s="8">
        <v>-5.4100000000000002E-2</v>
      </c>
      <c r="Q5" s="19"/>
      <c r="R5" s="19"/>
      <c r="S5" s="26">
        <v>24205.35</v>
      </c>
      <c r="T5" s="8">
        <v>-6.2199999999999998E-2</v>
      </c>
      <c r="U5" s="17"/>
      <c r="V5" s="19"/>
      <c r="W5" s="17"/>
      <c r="X5" s="17"/>
      <c r="Y5" s="17"/>
      <c r="Z5" s="17"/>
      <c r="AA5" s="17"/>
      <c r="AB5" s="17"/>
      <c r="AC5" s="17"/>
      <c r="AD5" s="17"/>
    </row>
    <row r="6" spans="1:30" s="16" customFormat="1" x14ac:dyDescent="0.3">
      <c r="A6" s="22">
        <v>45536</v>
      </c>
      <c r="B6" s="18"/>
      <c r="C6" s="7">
        <v>3154.8</v>
      </c>
      <c r="D6" s="8">
        <v>0.14460000000000001</v>
      </c>
      <c r="E6" s="13"/>
      <c r="F6" s="7">
        <v>3050.15</v>
      </c>
      <c r="G6" s="8">
        <v>7.7899999999999997E-2</v>
      </c>
      <c r="H6" s="13"/>
      <c r="I6" s="15">
        <v>138513.66</v>
      </c>
      <c r="J6" s="15">
        <v>2.7300000000000001E-2</v>
      </c>
      <c r="L6" s="15">
        <v>547.85</v>
      </c>
      <c r="M6" s="15">
        <v>0.1115</v>
      </c>
      <c r="N6" s="17"/>
      <c r="O6" s="15">
        <v>66.599999999999994</v>
      </c>
      <c r="P6" s="8">
        <v>0.2</v>
      </c>
      <c r="Q6" s="19"/>
      <c r="R6" s="19"/>
      <c r="S6" s="26">
        <v>25810.85</v>
      </c>
      <c r="T6" s="8">
        <v>2.2800000000000001E-2</v>
      </c>
      <c r="U6" s="17"/>
      <c r="V6" s="19"/>
      <c r="W6" s="17"/>
      <c r="X6" s="17"/>
      <c r="Y6" s="17"/>
      <c r="Z6" s="17"/>
      <c r="AA6" s="17"/>
      <c r="AB6" s="17"/>
      <c r="AC6" s="17"/>
      <c r="AD6" s="17"/>
    </row>
    <row r="7" spans="1:30" s="16" customFormat="1" x14ac:dyDescent="0.3">
      <c r="A7" s="22">
        <v>45505</v>
      </c>
      <c r="B7" s="18"/>
      <c r="C7" s="7">
        <v>2756.3</v>
      </c>
      <c r="D7" s="8">
        <v>2.5100000000000001E-2</v>
      </c>
      <c r="E7" s="13"/>
      <c r="F7" s="7">
        <v>2829.75</v>
      </c>
      <c r="G7" s="8">
        <v>-0.14849999999999999</v>
      </c>
      <c r="H7" s="13"/>
      <c r="I7" s="15">
        <v>134833.45000000001</v>
      </c>
      <c r="J7" s="15">
        <v>-5.21E-2</v>
      </c>
      <c r="L7" s="15">
        <v>492.9</v>
      </c>
      <c r="M7" s="15">
        <v>-0.113</v>
      </c>
      <c r="N7" s="17"/>
      <c r="O7" s="15">
        <v>55.5</v>
      </c>
      <c r="P7" s="8">
        <v>-4.3900000000000002E-2</v>
      </c>
      <c r="Q7" s="19"/>
      <c r="R7" s="19"/>
      <c r="S7" s="26">
        <v>25235.9</v>
      </c>
      <c r="T7" s="8">
        <v>1.14E-2</v>
      </c>
      <c r="U7" s="17"/>
      <c r="V7" s="19"/>
      <c r="W7" s="17"/>
      <c r="X7" s="17"/>
      <c r="Y7" s="17"/>
      <c r="Z7" s="17"/>
      <c r="AA7" s="17"/>
      <c r="AB7" s="17"/>
      <c r="AC7" s="17"/>
      <c r="AD7" s="17"/>
    </row>
    <row r="8" spans="1:30" s="16" customFormat="1" x14ac:dyDescent="0.3">
      <c r="A8" s="22">
        <v>45474</v>
      </c>
      <c r="B8" s="18"/>
      <c r="C8" s="7">
        <v>2688.85</v>
      </c>
      <c r="D8" s="8">
        <v>-4.7100000000000003E-2</v>
      </c>
      <c r="E8" s="13"/>
      <c r="F8" s="7">
        <v>3323.3</v>
      </c>
      <c r="G8" s="8">
        <v>2.92E-2</v>
      </c>
      <c r="H8" s="13"/>
      <c r="I8" s="15">
        <v>142249.04999999999</v>
      </c>
      <c r="J8" s="15">
        <v>9.8799999999999999E-2</v>
      </c>
      <c r="L8" s="15">
        <v>555.70000000000005</v>
      </c>
      <c r="M8" s="15">
        <v>2.5499999999999998E-2</v>
      </c>
      <c r="N8" s="17"/>
      <c r="O8" s="15">
        <v>58.05</v>
      </c>
      <c r="P8" s="8">
        <v>-2.2700000000000001E-2</v>
      </c>
      <c r="Q8" s="19"/>
      <c r="R8" s="19"/>
      <c r="S8" s="26">
        <v>24951.15</v>
      </c>
      <c r="T8" s="8">
        <v>3.9199999999999999E-2</v>
      </c>
      <c r="U8" s="17"/>
      <c r="V8" s="19"/>
      <c r="W8" s="17"/>
      <c r="X8" s="17"/>
      <c r="Y8" s="17"/>
      <c r="Z8" s="17"/>
      <c r="AA8" s="17"/>
      <c r="AB8" s="17"/>
      <c r="AC8" s="17"/>
      <c r="AD8" s="17"/>
    </row>
    <row r="9" spans="1:30" s="16" customFormat="1" x14ac:dyDescent="0.3">
      <c r="A9" s="22">
        <v>45444</v>
      </c>
      <c r="B9" s="18"/>
      <c r="C9" s="7">
        <v>2821.85</v>
      </c>
      <c r="D9" s="8">
        <v>0.1966</v>
      </c>
      <c r="E9" s="13"/>
      <c r="F9" s="7">
        <v>3229</v>
      </c>
      <c r="G9" s="8">
        <v>6.8500000000000005E-2</v>
      </c>
      <c r="H9" s="13"/>
      <c r="I9" s="15">
        <v>129459.15</v>
      </c>
      <c r="J9" s="15">
        <v>3.1300000000000001E-2</v>
      </c>
      <c r="L9" s="15">
        <v>541.9</v>
      </c>
      <c r="M9" s="15">
        <v>0.1691</v>
      </c>
      <c r="N9" s="17"/>
      <c r="O9" s="15">
        <v>59.4</v>
      </c>
      <c r="P9" s="8">
        <v>0.10100000000000001</v>
      </c>
      <c r="Q9" s="19"/>
      <c r="R9" s="19"/>
      <c r="S9" s="26">
        <v>24010.6</v>
      </c>
      <c r="T9" s="8">
        <v>6.5699999999999995E-2</v>
      </c>
      <c r="U9" s="17"/>
      <c r="V9" s="19"/>
      <c r="W9" s="17"/>
      <c r="X9" s="17"/>
      <c r="Y9" s="17"/>
      <c r="Z9" s="17"/>
      <c r="AA9" s="17"/>
      <c r="AB9" s="17"/>
      <c r="AC9" s="17"/>
      <c r="AD9" s="17"/>
    </row>
    <row r="10" spans="1:30" s="16" customFormat="1" x14ac:dyDescent="0.3">
      <c r="A10" s="22">
        <v>45413</v>
      </c>
      <c r="B10" s="18"/>
      <c r="C10" s="7">
        <v>2358.1999999999998</v>
      </c>
      <c r="D10" s="8">
        <v>-8.2100000000000006E-2</v>
      </c>
      <c r="E10" s="13"/>
      <c r="F10" s="7">
        <v>3022</v>
      </c>
      <c r="G10" s="8">
        <v>0.2437</v>
      </c>
      <c r="H10" s="13"/>
      <c r="I10" s="15">
        <v>125524.1</v>
      </c>
      <c r="J10" s="15">
        <v>-5.6300000000000003E-2</v>
      </c>
      <c r="L10" s="15">
        <v>463.5</v>
      </c>
      <c r="M10" s="15">
        <v>-9.1399999999999995E-2</v>
      </c>
      <c r="N10" s="17"/>
      <c r="O10" s="15">
        <v>53.95</v>
      </c>
      <c r="P10" s="8">
        <v>6.83E-2</v>
      </c>
      <c r="Q10" s="19"/>
      <c r="R10" s="19"/>
      <c r="S10" s="26">
        <v>22530.7</v>
      </c>
      <c r="T10" s="8">
        <v>-3.3E-3</v>
      </c>
      <c r="U10" s="17"/>
      <c r="V10" s="19"/>
      <c r="W10" s="17"/>
      <c r="X10" s="17"/>
      <c r="Y10" s="17"/>
      <c r="Z10" s="17"/>
      <c r="AA10" s="17"/>
      <c r="AB10" s="17"/>
      <c r="AC10" s="17"/>
      <c r="AD10" s="17"/>
    </row>
    <row r="11" spans="1:30" s="16" customFormat="1" x14ac:dyDescent="0.3">
      <c r="A11" s="22">
        <v>45383</v>
      </c>
      <c r="B11" s="18"/>
      <c r="C11" s="7">
        <v>2569</v>
      </c>
      <c r="D11" s="8">
        <v>-4.2299999999999997E-2</v>
      </c>
      <c r="E11" s="13"/>
      <c r="F11" s="7">
        <v>2429.9</v>
      </c>
      <c r="G11" s="8">
        <v>4.8599999999999997E-2</v>
      </c>
      <c r="H11" s="13"/>
      <c r="I11" s="15">
        <v>133019.45000000001</v>
      </c>
      <c r="J11" s="15">
        <v>-2.8E-3</v>
      </c>
      <c r="L11" s="15">
        <v>510.1</v>
      </c>
      <c r="M11" s="15">
        <v>9.3600000000000003E-2</v>
      </c>
      <c r="N11" s="17"/>
      <c r="O11" s="15">
        <v>50.5</v>
      </c>
      <c r="P11" s="8">
        <v>-9.7999999999999997E-3</v>
      </c>
      <c r="Q11" s="19"/>
      <c r="R11" s="19"/>
      <c r="S11" s="26">
        <v>22604.85</v>
      </c>
      <c r="T11" s="8">
        <v>1.24E-2</v>
      </c>
      <c r="U11" s="17"/>
      <c r="V11" s="19"/>
      <c r="W11" s="17"/>
      <c r="X11" s="17"/>
      <c r="Y11" s="17"/>
      <c r="Z11" s="17"/>
      <c r="AA11" s="17"/>
      <c r="AB11" s="17"/>
      <c r="AC11" s="17"/>
      <c r="AD11" s="17"/>
    </row>
    <row r="12" spans="1:30" s="16" customFormat="1" x14ac:dyDescent="0.3">
      <c r="A12" s="22">
        <v>45352</v>
      </c>
      <c r="B12" s="18"/>
      <c r="C12" s="7">
        <v>2682.4</v>
      </c>
      <c r="D12" s="8">
        <v>-6.0600000000000001E-2</v>
      </c>
      <c r="E12" s="13"/>
      <c r="F12" s="7">
        <v>2317.35</v>
      </c>
      <c r="G12" s="8">
        <v>3.9699999999999999E-2</v>
      </c>
      <c r="H12" s="13"/>
      <c r="I12" s="15">
        <v>133387.34</v>
      </c>
      <c r="J12" s="15">
        <v>-8.6900000000000005E-2</v>
      </c>
      <c r="L12" s="15">
        <v>466.45</v>
      </c>
      <c r="M12" s="15">
        <v>-0.1004</v>
      </c>
      <c r="N12" s="17"/>
      <c r="O12" s="15">
        <v>51</v>
      </c>
      <c r="P12" s="8">
        <v>-0.1192</v>
      </c>
      <c r="Q12" s="19"/>
      <c r="R12" s="19"/>
      <c r="S12" s="26">
        <v>22326.9</v>
      </c>
      <c r="T12" s="8">
        <v>1.5699999999999999E-2</v>
      </c>
      <c r="U12" s="17"/>
      <c r="V12" s="19"/>
      <c r="W12" s="17"/>
      <c r="X12" s="17"/>
      <c r="Y12" s="17"/>
      <c r="Z12" s="17"/>
      <c r="AA12" s="17"/>
      <c r="AB12" s="17"/>
      <c r="AC12" s="17"/>
      <c r="AD12" s="17"/>
    </row>
    <row r="13" spans="1:30" s="16" customFormat="1" x14ac:dyDescent="0.3">
      <c r="A13" s="22">
        <v>45323</v>
      </c>
      <c r="B13" s="18"/>
      <c r="C13" s="7">
        <v>2855.4</v>
      </c>
      <c r="D13" s="8">
        <v>7.7299999999999994E-2</v>
      </c>
      <c r="E13" s="13"/>
      <c r="F13" s="7">
        <v>2228.9499999999998</v>
      </c>
      <c r="G13" s="8">
        <v>-9.1800000000000007E-2</v>
      </c>
      <c r="H13" s="13"/>
      <c r="I13" s="15">
        <v>146081.54999999999</v>
      </c>
      <c r="J13" s="15">
        <v>2.75E-2</v>
      </c>
      <c r="L13" s="15">
        <v>518.5</v>
      </c>
      <c r="M13" s="15">
        <v>-4.07E-2</v>
      </c>
      <c r="N13" s="17"/>
      <c r="O13" s="15">
        <v>57.9</v>
      </c>
      <c r="P13" s="8">
        <v>-0.10920000000000001</v>
      </c>
      <c r="Q13" s="19"/>
      <c r="R13" s="19"/>
      <c r="S13" s="26">
        <v>21982.799999999999</v>
      </c>
      <c r="T13" s="8">
        <v>1.18E-2</v>
      </c>
      <c r="U13" s="17"/>
      <c r="V13" s="19"/>
      <c r="W13" s="17"/>
      <c r="X13" s="17"/>
      <c r="Y13" s="17"/>
      <c r="Z13" s="17"/>
      <c r="AA13" s="17"/>
      <c r="AB13" s="17"/>
      <c r="AC13" s="17"/>
      <c r="AD13" s="17"/>
    </row>
    <row r="14" spans="1:30" s="16" customFormat="1" x14ac:dyDescent="0.3">
      <c r="A14" s="22">
        <v>45292</v>
      </c>
      <c r="B14" s="18"/>
      <c r="C14" s="7">
        <v>2650.5</v>
      </c>
      <c r="D14" s="8">
        <v>9.2100000000000001E-2</v>
      </c>
      <c r="E14" s="13"/>
      <c r="F14" s="7">
        <v>2454.25</v>
      </c>
      <c r="G14" s="8">
        <v>-4.4499999999999998E-2</v>
      </c>
      <c r="H14" s="13"/>
      <c r="I14" s="15">
        <v>142171.41</v>
      </c>
      <c r="J14" s="15">
        <v>9.7199999999999995E-2</v>
      </c>
      <c r="L14" s="15">
        <v>540.5</v>
      </c>
      <c r="M14" s="15">
        <v>0.19040000000000001</v>
      </c>
      <c r="N14" s="17"/>
      <c r="O14" s="15">
        <v>65</v>
      </c>
      <c r="P14" s="8">
        <v>-7.6E-3</v>
      </c>
      <c r="Q14" s="19"/>
      <c r="R14" s="19"/>
      <c r="S14" s="26">
        <v>21725.7</v>
      </c>
      <c r="T14" s="8">
        <v>-2.9999999999999997E-4</v>
      </c>
      <c r="U14" s="17"/>
      <c r="V14" s="19"/>
      <c r="W14" s="17"/>
      <c r="X14" s="17"/>
      <c r="Y14" s="17"/>
      <c r="Z14" s="17"/>
      <c r="AA14" s="17"/>
      <c r="AB14" s="17"/>
      <c r="AC14" s="17"/>
      <c r="AD14" s="17"/>
    </row>
    <row r="15" spans="1:30" s="16" customFormat="1" ht="15" thickBot="1" x14ac:dyDescent="0.35">
      <c r="A15"/>
      <c r="B15" s="17"/>
      <c r="C15" s="11"/>
      <c r="D15"/>
      <c r="E15" s="17"/>
      <c r="F15" s="11"/>
      <c r="G15"/>
      <c r="H15" s="17"/>
      <c r="I15" s="11"/>
      <c r="J15"/>
      <c r="K15" s="17"/>
      <c r="L15" s="11"/>
      <c r="M15"/>
      <c r="N15" s="11"/>
      <c r="O15" s="11"/>
      <c r="P15" s="11"/>
      <c r="Q15" s="17"/>
      <c r="R15" s="17"/>
      <c r="S15" s="11"/>
      <c r="T15" s="11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6" customFormat="1" ht="15" customHeight="1" thickBot="1" x14ac:dyDescent="0.35">
      <c r="A16" s="20" t="s">
        <v>19</v>
      </c>
      <c r="B16" s="17"/>
      <c r="C16" s="82"/>
      <c r="D16" s="9">
        <f>AVERAGE(D2:D14)</f>
        <v>1.7223076923076921E-2</v>
      </c>
      <c r="E16" s="13"/>
      <c r="F16" s="11"/>
      <c r="G16" s="9">
        <f>AVERAGE(G2:G14)</f>
        <v>1.0146153846153852E-2</v>
      </c>
      <c r="H16" s="13"/>
      <c r="I16" s="11"/>
      <c r="J16" s="9">
        <f>AVERAGE(J2:J14)</f>
        <v>-7.4076923076923104E-3</v>
      </c>
      <c r="K16"/>
      <c r="L16" s="82"/>
      <c r="M16" s="9">
        <f>AVERAGE(M2:M14)</f>
        <v>3.1076923076923091E-3</v>
      </c>
      <c r="N16" s="82"/>
      <c r="O16" s="11"/>
      <c r="P16" s="9">
        <f>AVERAGE(P2:P14)</f>
        <v>1.3461538461538502E-3</v>
      </c>
      <c r="Q16" s="19"/>
      <c r="R16" s="19"/>
      <c r="S16" s="11"/>
      <c r="T16" s="9">
        <f>AVERAGE(T2:T14)</f>
        <v>6.4692307692307697E-3</v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6" customFormat="1" ht="15" customHeight="1" thickBot="1" x14ac:dyDescent="0.35">
      <c r="A17" s="11"/>
      <c r="B17" s="19"/>
      <c r="C17" s="82"/>
      <c r="D17" s="11"/>
      <c r="E17" s="19"/>
      <c r="F17" s="11"/>
      <c r="G17" s="82"/>
      <c r="H17" s="17"/>
      <c r="I17" s="82"/>
      <c r="J17" s="17"/>
      <c r="K17" s="19"/>
      <c r="L17" s="17"/>
      <c r="M17" s="19"/>
      <c r="N17" s="11"/>
      <c r="O17" s="82"/>
      <c r="P17" s="17"/>
      <c r="Q17" s="17"/>
      <c r="R17" s="17"/>
      <c r="S17" s="1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6" customFormat="1" ht="15" customHeight="1" x14ac:dyDescent="0.3">
      <c r="A18" s="110" t="s">
        <v>17</v>
      </c>
      <c r="B18" s="111"/>
      <c r="C18" s="111"/>
      <c r="D18" s="111"/>
      <c r="E18" s="112"/>
      <c r="F18" s="83"/>
      <c r="G18" s="83"/>
      <c r="H18" s="83"/>
      <c r="I18" s="83"/>
      <c r="J18" s="17"/>
      <c r="K18" s="19"/>
      <c r="L18" s="17"/>
      <c r="M18" s="19"/>
      <c r="N18" s="11"/>
      <c r="O18" s="82"/>
      <c r="P18" s="17"/>
      <c r="Q18" s="17"/>
      <c r="R18" s="17"/>
      <c r="S18" s="11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6" customFormat="1" ht="15" customHeight="1" x14ac:dyDescent="0.3">
      <c r="A19" s="113"/>
      <c r="B19" s="114"/>
      <c r="C19" s="114"/>
      <c r="D19" s="114"/>
      <c r="E19" s="115"/>
      <c r="F19" s="83"/>
      <c r="G19" s="83"/>
      <c r="H19" s="83"/>
      <c r="I19" s="83"/>
      <c r="J19" s="17"/>
      <c r="K19" s="19"/>
      <c r="L19" s="17"/>
      <c r="M19" s="19"/>
      <c r="N19" s="17"/>
      <c r="O19" s="1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6" customFormat="1" ht="15" customHeight="1" x14ac:dyDescent="0.3">
      <c r="A20" s="113"/>
      <c r="B20" s="114"/>
      <c r="C20" s="114"/>
      <c r="D20" s="114"/>
      <c r="E20" s="115"/>
      <c r="F20" s="83"/>
      <c r="G20" s="83"/>
      <c r="H20" s="83"/>
      <c r="I20" s="83"/>
      <c r="J20" s="17"/>
      <c r="K20" s="19"/>
      <c r="L20" s="17"/>
      <c r="M20" s="19"/>
      <c r="N20" s="17"/>
      <c r="O20" s="1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6" customFormat="1" ht="15" customHeight="1" thickBot="1" x14ac:dyDescent="0.35">
      <c r="A21" s="116"/>
      <c r="B21" s="117"/>
      <c r="C21" s="117"/>
      <c r="D21" s="117"/>
      <c r="E21" s="118"/>
      <c r="F21" s="83"/>
      <c r="G21" s="83"/>
      <c r="H21" s="83"/>
      <c r="I21" s="83"/>
      <c r="J21" s="17"/>
      <c r="K21" s="19"/>
      <c r="L21" s="17"/>
      <c r="M21" s="19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6" customFormat="1" ht="15" customHeight="1" x14ac:dyDescent="0.3">
      <c r="A22" s="83"/>
      <c r="B22" s="83"/>
      <c r="C22" s="83"/>
      <c r="D22" s="83"/>
      <c r="E22" s="83"/>
      <c r="F22" s="83"/>
      <c r="G22" s="83"/>
      <c r="H22" s="83"/>
      <c r="I22" s="83"/>
      <c r="J22" s="17"/>
      <c r="K22" s="19"/>
      <c r="L22" s="17"/>
      <c r="M22" s="19"/>
      <c r="N22" s="17"/>
      <c r="O22" s="1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6" customFormat="1" ht="15" customHeight="1" x14ac:dyDescent="0.3">
      <c r="A23" s="83"/>
      <c r="B23" s="83"/>
      <c r="C23" s="83"/>
      <c r="D23" s="83"/>
      <c r="E23" s="83"/>
      <c r="F23" s="83"/>
      <c r="G23" s="83"/>
      <c r="H23" s="83"/>
      <c r="I23" s="83"/>
      <c r="J23" s="17"/>
      <c r="K23" s="19"/>
      <c r="L23" s="17"/>
      <c r="M23" s="19"/>
      <c r="N23" s="17"/>
      <c r="O23" s="19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6" customFormat="1" ht="15" customHeight="1" x14ac:dyDescent="0.3">
      <c r="A24" s="11"/>
      <c r="B24" s="82"/>
      <c r="C24" s="82"/>
      <c r="D24" s="11"/>
      <c r="E24" s="82"/>
      <c r="F24" s="11"/>
      <c r="G24" s="82"/>
      <c r="H24" s="11"/>
      <c r="I24" s="82"/>
      <c r="J24" s="17"/>
      <c r="K24" s="19"/>
      <c r="L24" s="17"/>
      <c r="M24" s="19"/>
      <c r="N24" s="17"/>
      <c r="O24" s="1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6" customFormat="1" x14ac:dyDescent="0.3">
      <c r="A25" s="11"/>
      <c r="B25" s="82"/>
      <c r="C25" s="11"/>
      <c r="D25" s="11"/>
      <c r="E25" s="11"/>
      <c r="F25" s="11"/>
      <c r="G25" s="11"/>
      <c r="H25" s="11"/>
      <c r="I25" s="11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6" customFormat="1" ht="15" thickBot="1" x14ac:dyDescent="0.35">
      <c r="A26" s="17"/>
      <c r="B26" s="17"/>
      <c r="C26" s="2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6" customFormat="1" x14ac:dyDescent="0.3">
      <c r="A27" s="17"/>
      <c r="B27" s="17"/>
      <c r="C27" s="17"/>
      <c r="D27" s="36" t="s">
        <v>8</v>
      </c>
      <c r="E27" s="37" t="s">
        <v>9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6" customFormat="1" x14ac:dyDescent="0.3">
      <c r="A28" s="28"/>
      <c r="B28" s="17"/>
      <c r="C28" s="17"/>
      <c r="D28" s="38">
        <f>T2-$T$16</f>
        <v>-1.2269230769230768E-2</v>
      </c>
      <c r="E28" s="39">
        <f>D28*D28</f>
        <v>1.5053402366863904E-4</v>
      </c>
      <c r="F28" s="17"/>
      <c r="G28" s="17"/>
      <c r="H28" s="28"/>
      <c r="I28" s="28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6" customFormat="1" x14ac:dyDescent="0.3">
      <c r="A29" s="29"/>
      <c r="B29" s="19"/>
      <c r="C29" s="17"/>
      <c r="D29" s="38">
        <f t="shared" ref="D29:D40" si="0">T3-$T$16</f>
        <v>-2.6669230769230768E-2</v>
      </c>
      <c r="E29" s="39">
        <f>D29*D29</f>
        <v>7.1124786982248512E-4</v>
      </c>
      <c r="F29" s="17"/>
      <c r="G29" s="17"/>
      <c r="H29" s="19"/>
      <c r="I29" s="30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6" customFormat="1" x14ac:dyDescent="0.3">
      <c r="A30" s="29"/>
      <c r="B30" s="19"/>
      <c r="C30" s="17"/>
      <c r="D30" s="38">
        <f t="shared" si="0"/>
        <v>-9.5692307692307691E-3</v>
      </c>
      <c r="E30" s="39">
        <f t="shared" ref="E30:E35" si="1">D30*D30</f>
        <v>9.1570177514792896E-5</v>
      </c>
      <c r="F30" s="17"/>
      <c r="G30" s="17"/>
      <c r="H30" s="19"/>
      <c r="I30" s="30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6" customFormat="1" x14ac:dyDescent="0.3">
      <c r="A31" s="29"/>
      <c r="B31" s="19"/>
      <c r="C31" s="17"/>
      <c r="D31" s="38">
        <f t="shared" si="0"/>
        <v>-6.8669230769230774E-2</v>
      </c>
      <c r="E31" s="39">
        <f t="shared" si="1"/>
        <v>4.7154632544378705E-3</v>
      </c>
      <c r="F31" s="17"/>
      <c r="G31" s="17"/>
      <c r="H31" s="19"/>
      <c r="I31" s="30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6" customFormat="1" x14ac:dyDescent="0.3">
      <c r="A32" s="29"/>
      <c r="B32" s="19"/>
      <c r="C32" s="17"/>
      <c r="D32" s="38">
        <f t="shared" si="0"/>
        <v>1.6330769230769232E-2</v>
      </c>
      <c r="E32" s="39">
        <f t="shared" si="1"/>
        <v>2.6669402366863909E-4</v>
      </c>
      <c r="F32" s="17"/>
      <c r="G32" s="17"/>
      <c r="H32" s="19"/>
      <c r="I32" s="30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s="16" customFormat="1" x14ac:dyDescent="0.3">
      <c r="A33" s="29"/>
      <c r="B33" s="19"/>
      <c r="C33" s="17"/>
      <c r="D33" s="38">
        <f t="shared" si="0"/>
        <v>4.9307692307692308E-3</v>
      </c>
      <c r="E33" s="39">
        <f t="shared" si="1"/>
        <v>2.4312485207100593E-5</v>
      </c>
      <c r="F33" s="17"/>
      <c r="G33" s="17"/>
      <c r="H33" s="19"/>
      <c r="I33" s="30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s="16" customFormat="1" x14ac:dyDescent="0.3">
      <c r="A34" s="29"/>
      <c r="B34" s="19"/>
      <c r="C34" s="17"/>
      <c r="D34" s="38">
        <f t="shared" si="0"/>
        <v>3.273076923076923E-2</v>
      </c>
      <c r="E34" s="39">
        <f t="shared" si="1"/>
        <v>1.0713032544378699E-3</v>
      </c>
      <c r="F34" s="17"/>
      <c r="G34" s="17"/>
      <c r="H34" s="19"/>
      <c r="I34" s="30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s="16" customFormat="1" x14ac:dyDescent="0.3">
      <c r="A35" s="29"/>
      <c r="B35" s="19"/>
      <c r="C35" s="17"/>
      <c r="D35" s="38">
        <f t="shared" si="0"/>
        <v>5.9230769230769226E-2</v>
      </c>
      <c r="E35" s="39">
        <f t="shared" si="1"/>
        <v>3.5082840236686386E-3</v>
      </c>
      <c r="F35" s="17"/>
      <c r="G35" s="17"/>
      <c r="H35" s="19"/>
      <c r="I35" s="30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s="16" customFormat="1" x14ac:dyDescent="0.3">
      <c r="A36" s="29"/>
      <c r="B36" s="19"/>
      <c r="C36" s="17"/>
      <c r="D36" s="38">
        <f t="shared" si="0"/>
        <v>-9.7692307692307696E-3</v>
      </c>
      <c r="E36" s="39">
        <f>D36*D36</f>
        <v>9.5437869822485212E-5</v>
      </c>
      <c r="F36" s="17"/>
      <c r="G36" s="17"/>
      <c r="H36" s="19"/>
      <c r="I36" s="30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s="16" customFormat="1" x14ac:dyDescent="0.3">
      <c r="A37" s="29"/>
      <c r="B37" s="19"/>
      <c r="C37" s="17"/>
      <c r="D37" s="38">
        <f t="shared" si="0"/>
        <v>5.9307692307692299E-3</v>
      </c>
      <c r="E37" s="40">
        <f>D37*D37</f>
        <v>3.5174023668639042E-5</v>
      </c>
      <c r="F37" s="17"/>
      <c r="G37" s="17"/>
      <c r="H37" s="19"/>
      <c r="I37" s="30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s="16" customFormat="1" x14ac:dyDescent="0.3">
      <c r="A38" s="29"/>
      <c r="B38" s="30"/>
      <c r="C38" s="17"/>
      <c r="D38" s="38">
        <f t="shared" si="0"/>
        <v>9.2307692307692299E-3</v>
      </c>
      <c r="E38" s="40">
        <f t="shared" ref="E38:E40" si="2">D38*D38</f>
        <v>8.5207100591715959E-5</v>
      </c>
      <c r="F38" s="17"/>
      <c r="G38" s="17"/>
      <c r="H38" s="19"/>
      <c r="I38" s="30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s="16" customFormat="1" x14ac:dyDescent="0.3">
      <c r="A39" s="29"/>
      <c r="B39" s="30"/>
      <c r="C39" s="17"/>
      <c r="D39" s="38">
        <f t="shared" si="0"/>
        <v>5.3307692307692301E-3</v>
      </c>
      <c r="E39" s="40">
        <f t="shared" si="2"/>
        <v>2.8417100591715969E-5</v>
      </c>
      <c r="F39" s="17"/>
      <c r="G39" s="17"/>
      <c r="H39" s="19"/>
      <c r="I39" s="30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s="16" customFormat="1" x14ac:dyDescent="0.3">
      <c r="A40" s="29"/>
      <c r="B40" s="30"/>
      <c r="C40" s="17"/>
      <c r="D40" s="38">
        <f t="shared" si="0"/>
        <v>-6.7692307692307696E-3</v>
      </c>
      <c r="E40" s="40">
        <f t="shared" si="2"/>
        <v>4.5822485207100595E-5</v>
      </c>
      <c r="F40" s="17"/>
      <c r="G40" s="17"/>
      <c r="H40" s="19"/>
      <c r="I40" s="30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s="16" customFormat="1" ht="15" thickBot="1" x14ac:dyDescent="0.35">
      <c r="A41" s="29"/>
      <c r="B41" s="30"/>
      <c r="C41" s="17"/>
      <c r="D41" s="41" t="s">
        <v>12</v>
      </c>
      <c r="E41" s="42">
        <f>SUM(E28:E40)</f>
        <v>1.0829467692307693E-2</v>
      </c>
      <c r="F41" s="17"/>
      <c r="G41" s="17"/>
      <c r="H41" s="19"/>
      <c r="I41" s="30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s="16" customFormat="1" ht="15" thickBot="1" x14ac:dyDescent="0.35">
      <c r="A42" s="17"/>
      <c r="B42" s="19"/>
      <c r="C42" s="17"/>
      <c r="D42" s="3"/>
      <c r="E42" s="3"/>
      <c r="F42" s="17"/>
      <c r="G42" s="17"/>
      <c r="H42" s="17"/>
      <c r="I42" s="30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s="16" customFormat="1" ht="15" thickBot="1" x14ac:dyDescent="0.35">
      <c r="A43" s="17"/>
      <c r="B43" s="17"/>
      <c r="C43" s="17"/>
      <c r="D43" s="34" t="s">
        <v>10</v>
      </c>
      <c r="E43" s="35">
        <f>E41/13</f>
        <v>8.3303597633136101E-4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s="16" customFormat="1" x14ac:dyDescent="0.3">
      <c r="A44" s="17"/>
      <c r="B44" s="31"/>
      <c r="C44" s="17"/>
      <c r="D44" s="17"/>
      <c r="E44" s="33"/>
      <c r="F44" s="17"/>
      <c r="G44" s="17"/>
      <c r="H44" s="17"/>
      <c r="I44" s="17"/>
      <c r="J44" s="33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s="16" customFormat="1" x14ac:dyDescent="0.3">
      <c r="A45" s="17"/>
      <c r="B45" s="17"/>
      <c r="C45" s="17"/>
      <c r="D45" s="17"/>
      <c r="E45" s="17"/>
      <c r="F45" s="17"/>
      <c r="I45" s="17"/>
      <c r="J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s="16" customFormat="1" x14ac:dyDescent="0.3">
      <c r="A46" s="17"/>
      <c r="B46" s="17"/>
      <c r="C46" s="17"/>
      <c r="D46" s="17"/>
      <c r="E46" s="17"/>
      <c r="F46" s="17"/>
      <c r="I46" s="17"/>
      <c r="J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s="16" customFormat="1" x14ac:dyDescent="0.3">
      <c r="A47" s="17"/>
      <c r="B47" s="17"/>
      <c r="C47" s="17"/>
      <c r="D47" s="17"/>
      <c r="E47" s="17"/>
      <c r="F47" s="17"/>
      <c r="I47" s="44"/>
      <c r="J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s="16" customFormat="1" x14ac:dyDescent="0.3">
      <c r="A48" s="17"/>
      <c r="B48" s="17"/>
      <c r="C48" s="17"/>
      <c r="D48" s="17"/>
      <c r="E48" s="17"/>
      <c r="F48" s="17"/>
      <c r="I48" s="17"/>
      <c r="J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51" s="16" customFormat="1" x14ac:dyDescent="0.3">
      <c r="A49" s="32"/>
      <c r="B49" s="32"/>
      <c r="C49" s="17"/>
      <c r="D49" s="17"/>
      <c r="E49" s="17"/>
      <c r="F49" s="17"/>
      <c r="I49" s="17"/>
      <c r="J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51" s="16" customFormat="1" x14ac:dyDescent="0.3">
      <c r="A50" s="17"/>
      <c r="B50" s="17"/>
      <c r="C50" s="17"/>
      <c r="D50" s="17"/>
      <c r="E50" s="17"/>
      <c r="F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A50" s="17"/>
      <c r="AB50" s="17"/>
      <c r="AC50" s="17"/>
    </row>
    <row r="51" spans="1:51" s="16" customFormat="1" x14ac:dyDescent="0.3">
      <c r="A51" s="17"/>
      <c r="B51" s="17"/>
      <c r="C51" s="17"/>
      <c r="D51" s="17"/>
      <c r="E51" s="17"/>
      <c r="F51" s="17"/>
      <c r="I51" s="17"/>
      <c r="J51" s="17"/>
      <c r="K51" s="17"/>
      <c r="L51" s="17"/>
      <c r="M51" s="17"/>
      <c r="O51" s="17"/>
      <c r="P51" s="17"/>
      <c r="R51" s="17"/>
      <c r="S51" s="17"/>
      <c r="T51" s="17"/>
      <c r="U51" s="17"/>
      <c r="V51" s="17"/>
      <c r="W51" s="17"/>
      <c r="AA51" s="17"/>
      <c r="AB51" s="17"/>
      <c r="AC51" s="17"/>
    </row>
    <row r="52" spans="1:51" s="16" customFormat="1" ht="15" thickBot="1" x14ac:dyDescent="0.35">
      <c r="A52" s="17" t="s">
        <v>16</v>
      </c>
      <c r="B52" s="17"/>
      <c r="C52" s="17"/>
      <c r="D52" s="17"/>
      <c r="E52" s="17"/>
      <c r="F52" s="17"/>
      <c r="I52" s="17"/>
      <c r="J52" s="17"/>
      <c r="K52" s="17"/>
      <c r="L52" s="17"/>
      <c r="M52" s="17"/>
      <c r="N52" s="17"/>
      <c r="O52" s="17"/>
      <c r="P52" s="17"/>
      <c r="R52" s="17"/>
      <c r="S52" s="17"/>
      <c r="T52" s="17"/>
      <c r="U52" s="17"/>
      <c r="V52" s="17"/>
      <c r="W52" s="17"/>
      <c r="AA52" s="17"/>
      <c r="AB52" s="17"/>
      <c r="AC52" s="17"/>
    </row>
    <row r="53" spans="1:51" s="16" customFormat="1" ht="14.4" customHeight="1" x14ac:dyDescent="0.3">
      <c r="A53" s="17"/>
      <c r="B53" s="119" t="s">
        <v>18</v>
      </c>
      <c r="C53" s="120"/>
      <c r="D53" s="120"/>
      <c r="E53" s="120"/>
      <c r="F53" s="121"/>
      <c r="G53" s="72"/>
      <c r="H53" s="72"/>
      <c r="I53" s="128" t="s">
        <v>24</v>
      </c>
      <c r="J53" s="129"/>
      <c r="K53" s="130"/>
      <c r="L53" s="17"/>
      <c r="M53" s="137" t="s">
        <v>28</v>
      </c>
      <c r="N53" s="138"/>
      <c r="O53" s="138"/>
      <c r="P53" s="139"/>
      <c r="Q53" s="74"/>
      <c r="R53" s="5"/>
      <c r="S53" s="146" t="s">
        <v>41</v>
      </c>
      <c r="T53" s="147"/>
      <c r="U53" s="147"/>
      <c r="V53" s="147"/>
      <c r="W53" s="148"/>
      <c r="X53" s="17"/>
      <c r="Y53" s="101" t="s">
        <v>37</v>
      </c>
      <c r="Z53" s="102"/>
      <c r="AA53" s="102"/>
      <c r="AB53" s="102"/>
      <c r="AC53" s="103"/>
      <c r="AD53" s="74"/>
    </row>
    <row r="54" spans="1:51" s="16" customFormat="1" ht="14.4" customHeight="1" x14ac:dyDescent="0.3">
      <c r="A54" s="17"/>
      <c r="B54" s="122"/>
      <c r="C54" s="123"/>
      <c r="D54" s="123"/>
      <c r="E54" s="123"/>
      <c r="F54" s="124"/>
      <c r="G54" s="72"/>
      <c r="H54" s="72"/>
      <c r="I54" s="131"/>
      <c r="J54" s="132"/>
      <c r="K54" s="133"/>
      <c r="L54" s="17"/>
      <c r="M54" s="140"/>
      <c r="N54" s="141"/>
      <c r="O54" s="141"/>
      <c r="P54" s="142"/>
      <c r="Q54" s="74"/>
      <c r="R54" s="60"/>
      <c r="S54" s="149"/>
      <c r="T54" s="150"/>
      <c r="U54" s="150"/>
      <c r="V54" s="150"/>
      <c r="W54" s="151"/>
      <c r="X54" s="17"/>
      <c r="Y54" s="104"/>
      <c r="Z54" s="105"/>
      <c r="AA54" s="105"/>
      <c r="AB54" s="105"/>
      <c r="AC54" s="106"/>
      <c r="AD54" s="74"/>
    </row>
    <row r="55" spans="1:51" s="16" customFormat="1" ht="14.4" customHeight="1" thickBot="1" x14ac:dyDescent="0.35">
      <c r="A55" s="17"/>
      <c r="B55" s="125"/>
      <c r="C55" s="126"/>
      <c r="D55" s="126"/>
      <c r="E55" s="126"/>
      <c r="F55" s="127"/>
      <c r="G55" s="72"/>
      <c r="H55" s="72"/>
      <c r="I55" s="134"/>
      <c r="J55" s="135"/>
      <c r="K55" s="136"/>
      <c r="L55" s="17"/>
      <c r="M55" s="143"/>
      <c r="N55" s="144"/>
      <c r="O55" s="144"/>
      <c r="P55" s="145"/>
      <c r="Q55" s="74"/>
      <c r="R55" s="60"/>
      <c r="S55" s="152"/>
      <c r="T55" s="153"/>
      <c r="U55" s="153"/>
      <c r="V55" s="153"/>
      <c r="W55" s="154"/>
      <c r="X55" s="17"/>
      <c r="Y55" s="107"/>
      <c r="Z55" s="108"/>
      <c r="AA55" s="108"/>
      <c r="AB55" s="108"/>
      <c r="AC55" s="109"/>
      <c r="AD55" s="74"/>
    </row>
    <row r="56" spans="1:51" s="16" customFormat="1" ht="15.75" customHeight="1" thickBot="1" x14ac:dyDescent="0.35">
      <c r="A56" s="45"/>
      <c r="B56" s="46"/>
      <c r="C56" s="46"/>
      <c r="D56" s="45"/>
      <c r="E56" s="45"/>
      <c r="F56" s="45"/>
      <c r="G56" s="46"/>
      <c r="H56" s="46"/>
      <c r="I56" s="73"/>
      <c r="J56" s="73"/>
      <c r="K56" s="73"/>
      <c r="L56" s="12"/>
      <c r="M56" s="81"/>
      <c r="N56" s="74"/>
      <c r="O56" s="74"/>
      <c r="P56" s="74"/>
      <c r="Q56" s="74"/>
      <c r="R56" s="74"/>
      <c r="S56" s="74"/>
      <c r="T56" s="74"/>
      <c r="U56" s="74"/>
      <c r="V56" s="74"/>
      <c r="W56" s="74"/>
      <c r="Y56" s="74"/>
      <c r="Z56" s="74"/>
      <c r="AA56" s="74"/>
      <c r="AB56" s="74"/>
      <c r="AC56" s="74"/>
      <c r="AD56" s="74"/>
    </row>
    <row r="57" spans="1:51" s="16" customFormat="1" ht="14.4" customHeight="1" x14ac:dyDescent="0.3">
      <c r="A57" s="45"/>
      <c r="B57" s="46"/>
      <c r="C57" s="46"/>
      <c r="D57" s="48" t="s">
        <v>20</v>
      </c>
      <c r="E57" s="50">
        <v>6.4999999999999997E-3</v>
      </c>
      <c r="F57" s="45"/>
      <c r="G57" s="46"/>
      <c r="H57" s="46"/>
      <c r="I57" s="75" t="s">
        <v>25</v>
      </c>
      <c r="J57" s="76">
        <v>6.4999999999999997E-3</v>
      </c>
      <c r="K57" s="17"/>
      <c r="L57" s="17"/>
      <c r="M57" s="48" t="s">
        <v>25</v>
      </c>
      <c r="N57" s="50">
        <v>6.4999999999999997E-3</v>
      </c>
      <c r="O57" s="74"/>
      <c r="P57" s="74"/>
      <c r="Q57" s="74"/>
      <c r="R57" s="74"/>
      <c r="S57" s="48" t="s">
        <v>25</v>
      </c>
      <c r="T57" s="50">
        <v>6.4999999999999997E-3</v>
      </c>
      <c r="U57" s="60"/>
      <c r="V57" s="17"/>
      <c r="W57" s="17"/>
      <c r="X57" s="17"/>
      <c r="Y57" s="48" t="s">
        <v>25</v>
      </c>
      <c r="Z57" s="50">
        <v>6.4999999999999997E-3</v>
      </c>
      <c r="AA57" s="17"/>
      <c r="AB57" s="17"/>
      <c r="AC57" s="17"/>
    </row>
    <row r="58" spans="1:51" s="16" customFormat="1" ht="15" thickBot="1" x14ac:dyDescent="0.35">
      <c r="A58" s="45"/>
      <c r="B58" s="46"/>
      <c r="C58" s="46"/>
      <c r="D58" s="54" t="s">
        <v>21</v>
      </c>
      <c r="E58" s="56">
        <v>1.72E-2</v>
      </c>
      <c r="F58" s="45"/>
      <c r="G58" s="46"/>
      <c r="H58" s="46"/>
      <c r="I58" s="77" t="s">
        <v>26</v>
      </c>
      <c r="J58" s="78">
        <v>1.01E-2</v>
      </c>
      <c r="K58" s="17"/>
      <c r="L58" s="17"/>
      <c r="M58" s="79" t="s">
        <v>29</v>
      </c>
      <c r="N58" s="80">
        <v>-7.4076923076923104E-3</v>
      </c>
      <c r="S58" s="54" t="s">
        <v>32</v>
      </c>
      <c r="T58" s="42">
        <v>3.0999999999999999E-3</v>
      </c>
      <c r="U58" s="17"/>
      <c r="V58" s="17"/>
      <c r="W58" s="17"/>
      <c r="X58" s="17"/>
      <c r="Y58" s="54" t="s">
        <v>38</v>
      </c>
      <c r="Z58" s="42">
        <v>1.2999999999999999E-3</v>
      </c>
      <c r="AA58" s="17"/>
      <c r="AB58" s="17"/>
      <c r="AC58" s="17"/>
    </row>
    <row r="59" spans="1:51" s="16" customFormat="1" x14ac:dyDescent="0.3">
      <c r="A59" s="45"/>
      <c r="B59" s="46"/>
      <c r="C59" s="46"/>
      <c r="D59" s="46"/>
      <c r="E59" s="46"/>
      <c r="F59" s="46"/>
      <c r="G59" s="46"/>
      <c r="H59" s="45"/>
      <c r="I59" s="45"/>
      <c r="J59" s="17"/>
      <c r="K59" s="17"/>
      <c r="L59"/>
      <c r="M59" s="17"/>
      <c r="N59" s="17"/>
      <c r="O59" s="17"/>
      <c r="P59" s="17"/>
      <c r="Q59" s="17"/>
    </row>
    <row r="60" spans="1:51" s="17" customFormat="1" ht="15" thickBot="1" x14ac:dyDescent="0.35">
      <c r="A60" s="45"/>
      <c r="B60" s="46"/>
      <c r="C60" s="46"/>
      <c r="D60" s="46"/>
      <c r="E60" s="46"/>
      <c r="F60" s="46"/>
      <c r="G60" s="46"/>
      <c r="H60" s="45"/>
      <c r="I60" s="45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</row>
    <row r="61" spans="1:51" s="17" customFormat="1" x14ac:dyDescent="0.3">
      <c r="A61" s="45"/>
      <c r="B61" s="48" t="s">
        <v>11</v>
      </c>
      <c r="C61" s="49" t="s">
        <v>8</v>
      </c>
      <c r="D61" s="50" t="s">
        <v>22</v>
      </c>
      <c r="E61" s="45"/>
      <c r="F61" s="45"/>
      <c r="G61" s="45"/>
      <c r="H61" s="45"/>
      <c r="I61" s="48" t="s">
        <v>15</v>
      </c>
      <c r="J61" s="57" t="s">
        <v>8</v>
      </c>
      <c r="K61" s="50" t="s">
        <v>27</v>
      </c>
      <c r="M61" s="48" t="s">
        <v>30</v>
      </c>
      <c r="N61" s="57" t="s">
        <v>8</v>
      </c>
      <c r="O61" s="50" t="s">
        <v>31</v>
      </c>
      <c r="R61" s="48" t="s">
        <v>33</v>
      </c>
      <c r="S61" s="57" t="s">
        <v>8</v>
      </c>
      <c r="T61" s="50" t="s">
        <v>34</v>
      </c>
      <c r="Y61" s="48" t="s">
        <v>39</v>
      </c>
      <c r="Z61" s="57" t="s">
        <v>8</v>
      </c>
      <c r="AA61" s="50" t="s">
        <v>40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</row>
    <row r="62" spans="1:51" s="17" customFormat="1" x14ac:dyDescent="0.3">
      <c r="A62" s="45"/>
      <c r="B62" s="51">
        <f t="shared" ref="B62:B74" si="3">D2-$E$58</f>
        <v>-0.13339999999999999</v>
      </c>
      <c r="C62" s="43">
        <v>-1.2269230769230768E-2</v>
      </c>
      <c r="D62" s="52">
        <f>B62*C62</f>
        <v>1.6367153846153844E-3</v>
      </c>
      <c r="E62" s="45"/>
      <c r="F62" s="45"/>
      <c r="G62" s="45"/>
      <c r="H62" s="45"/>
      <c r="I62" s="51">
        <f t="shared" ref="I62:I74" si="4">G2-$J$58</f>
        <v>-5.7799999999999997E-2</v>
      </c>
      <c r="J62" s="43">
        <v>-1.2269230769230768E-2</v>
      </c>
      <c r="K62" s="58">
        <f>I62*J62</f>
        <v>7.0916153846153841E-4</v>
      </c>
      <c r="M62" s="68">
        <f t="shared" ref="M62:M74" si="5">J2-$N$58</f>
        <v>-0.1227923076923077</v>
      </c>
      <c r="N62" s="43">
        <v>-1.2269230769230768E-2</v>
      </c>
      <c r="O62" s="58">
        <f>M62*N62</f>
        <v>1.5065671597633136E-3</v>
      </c>
      <c r="R62" s="68">
        <f>M2-$T$58</f>
        <v>-0.17709999999999998</v>
      </c>
      <c r="S62" s="43">
        <v>-1.22692307692308E-2</v>
      </c>
      <c r="T62" s="58">
        <f>R62*S62</f>
        <v>2.1728807692307744E-3</v>
      </c>
      <c r="Y62" s="68">
        <f t="shared" ref="Y62:Y74" si="6">P2-$Z$58</f>
        <v>-5.1900000000000002E-2</v>
      </c>
      <c r="Z62" s="43">
        <v>-1.2269230769230768E-2</v>
      </c>
      <c r="AA62" s="69">
        <f>Y62*Z62</f>
        <v>6.3677307692307694E-4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</row>
    <row r="63" spans="1:51" s="17" customFormat="1" x14ac:dyDescent="0.3">
      <c r="A63" s="45"/>
      <c r="B63" s="51">
        <f t="shared" si="3"/>
        <v>3.2899999999999999E-2</v>
      </c>
      <c r="C63" s="43">
        <v>-2.6669230769230768E-2</v>
      </c>
      <c r="D63" s="52">
        <f t="shared" ref="D63:D74" si="7">B63*C63</f>
        <v>-8.774176923076922E-4</v>
      </c>
      <c r="E63" s="45"/>
      <c r="F63" s="45"/>
      <c r="G63" s="45"/>
      <c r="H63" s="45"/>
      <c r="I63" s="51">
        <f t="shared" si="4"/>
        <v>3.6600000000000001E-2</v>
      </c>
      <c r="J63" s="43">
        <v>-2.6669230769230768E-2</v>
      </c>
      <c r="K63" s="58">
        <f t="shared" ref="K63:K74" si="8">I63*J63</f>
        <v>-9.7609384615384613E-4</v>
      </c>
      <c r="M63" s="68">
        <f t="shared" si="5"/>
        <v>5.0407692307692306E-2</v>
      </c>
      <c r="N63" s="43">
        <v>-2.6669230769230768E-2</v>
      </c>
      <c r="O63" s="58">
        <f t="shared" ref="O63:O74" si="9">M63*N63</f>
        <v>-1.3443343786982247E-3</v>
      </c>
      <c r="R63" s="68">
        <f>M3-$T$58</f>
        <v>3.5700000000000003E-2</v>
      </c>
      <c r="S63" s="43">
        <v>-2.6669230769230768E-2</v>
      </c>
      <c r="T63" s="58">
        <f t="shared" ref="T63:T74" si="10">R63*S63</f>
        <v>-9.5209153846153845E-4</v>
      </c>
      <c r="Y63" s="68">
        <f t="shared" si="6"/>
        <v>1.0800000000000001E-2</v>
      </c>
      <c r="Z63" s="43">
        <v>-2.6669230769230768E-2</v>
      </c>
      <c r="AA63" s="69">
        <f t="shared" ref="AA63:AA74" si="11">Y63*Z63</f>
        <v>-2.8802769230769229E-4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</row>
    <row r="64" spans="1:51" s="17" customFormat="1" x14ac:dyDescent="0.3">
      <c r="A64" s="45"/>
      <c r="B64" s="51">
        <f t="shared" si="3"/>
        <v>7.980000000000001E-2</v>
      </c>
      <c r="C64" s="43">
        <v>-9.5692307692307691E-3</v>
      </c>
      <c r="D64" s="52">
        <f t="shared" si="7"/>
        <v>-7.6362461538461552E-4</v>
      </c>
      <c r="E64" s="45"/>
      <c r="F64" s="45"/>
      <c r="G64" s="45"/>
      <c r="H64" s="45"/>
      <c r="I64" s="51">
        <f t="shared" si="4"/>
        <v>-3.0300000000000001E-2</v>
      </c>
      <c r="J64" s="43">
        <v>-9.5692307692307691E-3</v>
      </c>
      <c r="K64" s="58">
        <f t="shared" si="8"/>
        <v>2.8994769230769233E-4</v>
      </c>
      <c r="M64" s="68">
        <f t="shared" si="5"/>
        <v>2.970769230769231E-2</v>
      </c>
      <c r="N64" s="43">
        <v>-9.5692307692307691E-3</v>
      </c>
      <c r="O64" s="58">
        <f t="shared" si="9"/>
        <v>-2.842797633136095E-4</v>
      </c>
      <c r="R64" s="68">
        <f t="shared" ref="R64:R74" si="12">M4-$T$58</f>
        <v>6.1999999999999989E-3</v>
      </c>
      <c r="S64" s="43">
        <v>-9.5692307692307691E-3</v>
      </c>
      <c r="T64" s="58">
        <f t="shared" si="10"/>
        <v>-5.9329230769230758E-5</v>
      </c>
      <c r="Y64" s="68">
        <f t="shared" si="6"/>
        <v>5.1899999999999995E-2</v>
      </c>
      <c r="Z64" s="43">
        <v>-9.5692307692307691E-3</v>
      </c>
      <c r="AA64" s="69">
        <f t="shared" si="11"/>
        <v>-4.9664307692307691E-4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</row>
    <row r="65" spans="1:51" s="17" customFormat="1" x14ac:dyDescent="0.3">
      <c r="A65" s="45"/>
      <c r="B65" s="51">
        <f t="shared" si="3"/>
        <v>-0.1278</v>
      </c>
      <c r="C65" s="43">
        <v>-6.8669230769230774E-2</v>
      </c>
      <c r="D65" s="52">
        <f t="shared" si="7"/>
        <v>8.7759276923076932E-3</v>
      </c>
      <c r="E65" s="45"/>
      <c r="F65" s="45"/>
      <c r="G65" s="45"/>
      <c r="H65" s="45"/>
      <c r="I65" s="51">
        <f t="shared" si="4"/>
        <v>-7.9799999999999996E-2</v>
      </c>
      <c r="J65" s="43">
        <v>-6.8669230769230774E-2</v>
      </c>
      <c r="K65" s="58">
        <f t="shared" si="8"/>
        <v>5.4798046153846152E-3</v>
      </c>
      <c r="M65" s="68">
        <f t="shared" si="5"/>
        <v>-0.10799230769230769</v>
      </c>
      <c r="N65" s="43">
        <v>-6.8669230769230774E-2</v>
      </c>
      <c r="O65" s="58">
        <f t="shared" si="9"/>
        <v>7.4157486982248527E-3</v>
      </c>
      <c r="R65" s="68">
        <f t="shared" si="12"/>
        <v>-8.14E-2</v>
      </c>
      <c r="S65" s="43">
        <v>-6.8669230769230774E-2</v>
      </c>
      <c r="T65" s="58">
        <f t="shared" si="10"/>
        <v>5.5896753846153852E-3</v>
      </c>
      <c r="Y65" s="68">
        <f t="shared" si="6"/>
        <v>-5.5400000000000005E-2</v>
      </c>
      <c r="Z65" s="43">
        <v>-6.8669230769230774E-2</v>
      </c>
      <c r="AA65" s="69">
        <f t="shared" si="11"/>
        <v>3.8042753846153853E-3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</row>
    <row r="66" spans="1:51" s="17" customFormat="1" x14ac:dyDescent="0.3">
      <c r="A66" s="45"/>
      <c r="B66" s="51">
        <f t="shared" si="3"/>
        <v>0.12740000000000001</v>
      </c>
      <c r="C66" s="43">
        <v>1.6330769230769232E-2</v>
      </c>
      <c r="D66" s="52">
        <f t="shared" si="7"/>
        <v>2.0805400000000005E-3</v>
      </c>
      <c r="E66" s="45"/>
      <c r="F66" s="45"/>
      <c r="G66" s="45"/>
      <c r="H66" s="45"/>
      <c r="I66" s="51">
        <f t="shared" si="4"/>
        <v>6.7799999999999999E-2</v>
      </c>
      <c r="J66" s="43">
        <v>1.6330769230769232E-2</v>
      </c>
      <c r="K66" s="58">
        <f t="shared" si="8"/>
        <v>1.1072261538461539E-3</v>
      </c>
      <c r="M66" s="68">
        <f t="shared" si="5"/>
        <v>3.4707692307692314E-2</v>
      </c>
      <c r="N66" s="43">
        <v>1.6330769230769232E-2</v>
      </c>
      <c r="O66" s="58">
        <f t="shared" si="9"/>
        <v>5.6680331360946766E-4</v>
      </c>
      <c r="R66" s="68">
        <f t="shared" si="12"/>
        <v>0.1084</v>
      </c>
      <c r="S66" s="43">
        <v>1.6330769230769232E-2</v>
      </c>
      <c r="T66" s="58">
        <f t="shared" si="10"/>
        <v>1.7702553846153848E-3</v>
      </c>
      <c r="Y66" s="68">
        <f t="shared" si="6"/>
        <v>0.19870000000000002</v>
      </c>
      <c r="Z66" s="43">
        <v>1.6330769230769232E-2</v>
      </c>
      <c r="AA66" s="69">
        <f t="shared" si="11"/>
        <v>3.2449238461538465E-3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 spans="1:51" s="17" customFormat="1" x14ac:dyDescent="0.3">
      <c r="A67" s="45"/>
      <c r="B67" s="51">
        <f t="shared" si="3"/>
        <v>7.9000000000000008E-3</v>
      </c>
      <c r="C67" s="43">
        <v>4.9307692307692308E-3</v>
      </c>
      <c r="D67" s="53">
        <f t="shared" si="7"/>
        <v>3.8953076923076928E-5</v>
      </c>
      <c r="E67" s="45"/>
      <c r="F67" s="45"/>
      <c r="G67" s="45"/>
      <c r="H67" s="45"/>
      <c r="I67" s="51">
        <f t="shared" si="4"/>
        <v>-0.15859999999999999</v>
      </c>
      <c r="J67" s="43">
        <v>4.9307692307692308E-3</v>
      </c>
      <c r="K67" s="58">
        <f t="shared" si="8"/>
        <v>-7.8201999999999992E-4</v>
      </c>
      <c r="M67" s="68">
        <f t="shared" si="5"/>
        <v>-4.4692307692307691E-2</v>
      </c>
      <c r="N67" s="43">
        <v>4.9307692307692308E-3</v>
      </c>
      <c r="O67" s="58">
        <f t="shared" si="9"/>
        <v>-2.2036745562130177E-4</v>
      </c>
      <c r="R67" s="68">
        <f t="shared" si="12"/>
        <v>-0.11610000000000001</v>
      </c>
      <c r="S67" s="43">
        <v>4.9307692307692308E-3</v>
      </c>
      <c r="T67" s="58">
        <f t="shared" si="10"/>
        <v>-5.7246230769230776E-4</v>
      </c>
      <c r="Y67" s="68">
        <f t="shared" si="6"/>
        <v>-4.5200000000000004E-2</v>
      </c>
      <c r="Z67" s="43">
        <v>4.9307692307692308E-3</v>
      </c>
      <c r="AA67" s="69">
        <f t="shared" si="11"/>
        <v>-2.2287076923076926E-4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</row>
    <row r="68" spans="1:51" s="17" customFormat="1" x14ac:dyDescent="0.3">
      <c r="A68" s="45"/>
      <c r="B68" s="51">
        <f t="shared" si="3"/>
        <v>-6.4299999999999996E-2</v>
      </c>
      <c r="C68" s="43">
        <v>3.273076923076923E-2</v>
      </c>
      <c r="D68" s="52">
        <f t="shared" si="7"/>
        <v>-2.1045884615384612E-3</v>
      </c>
      <c r="E68" s="45"/>
      <c r="F68" s="45"/>
      <c r="G68" s="45"/>
      <c r="H68" s="45"/>
      <c r="I68" s="51">
        <f t="shared" si="4"/>
        <v>1.9099999999999999E-2</v>
      </c>
      <c r="J68" s="43">
        <v>3.273076923076923E-2</v>
      </c>
      <c r="K68" s="58">
        <f t="shared" si="8"/>
        <v>6.2515769230769228E-4</v>
      </c>
      <c r="M68" s="68">
        <f t="shared" si="5"/>
        <v>0.10620769230769231</v>
      </c>
      <c r="N68" s="43">
        <v>3.273076923076923E-2</v>
      </c>
      <c r="O68" s="58">
        <f t="shared" si="9"/>
        <v>3.4762594674556213E-3</v>
      </c>
      <c r="R68" s="68">
        <f>M8-$T$58</f>
        <v>2.24E-2</v>
      </c>
      <c r="S68" s="43">
        <v>3.273076923076923E-2</v>
      </c>
      <c r="T68" s="58">
        <f t="shared" si="10"/>
        <v>7.3316923076923075E-4</v>
      </c>
      <c r="Y68" s="68">
        <f t="shared" si="6"/>
        <v>-2.4E-2</v>
      </c>
      <c r="Z68" s="43">
        <v>3.273076923076923E-2</v>
      </c>
      <c r="AA68" s="69">
        <f t="shared" si="11"/>
        <v>-7.8553846153846154E-4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</row>
    <row r="69" spans="1:51" s="17" customFormat="1" x14ac:dyDescent="0.3">
      <c r="A69" s="45"/>
      <c r="B69" s="51">
        <f t="shared" si="3"/>
        <v>0.1794</v>
      </c>
      <c r="C69" s="43">
        <v>5.9230769230769226E-2</v>
      </c>
      <c r="D69" s="52">
        <f t="shared" si="7"/>
        <v>1.0626E-2</v>
      </c>
      <c r="E69" s="45"/>
      <c r="F69" s="45"/>
      <c r="G69" s="45"/>
      <c r="H69" s="45"/>
      <c r="I69" s="51">
        <f t="shared" si="4"/>
        <v>5.8400000000000007E-2</v>
      </c>
      <c r="J69" s="43">
        <v>5.9230769230769226E-2</v>
      </c>
      <c r="K69" s="58">
        <f t="shared" si="8"/>
        <v>3.4590769230769232E-3</v>
      </c>
      <c r="M69" s="68">
        <f t="shared" si="5"/>
        <v>3.8707692307692311E-2</v>
      </c>
      <c r="N69" s="43">
        <v>5.9230769230769226E-2</v>
      </c>
      <c r="O69" s="58">
        <f t="shared" si="9"/>
        <v>2.2926863905325442E-3</v>
      </c>
      <c r="R69" s="68">
        <f t="shared" si="12"/>
        <v>0.16600000000000001</v>
      </c>
      <c r="S69" s="43">
        <v>5.9230769230769226E-2</v>
      </c>
      <c r="T69" s="58">
        <f t="shared" si="10"/>
        <v>9.8323076923076923E-3</v>
      </c>
      <c r="Y69" s="68">
        <f t="shared" si="6"/>
        <v>9.9700000000000011E-2</v>
      </c>
      <c r="Z69" s="43">
        <v>5.9230769230769226E-2</v>
      </c>
      <c r="AA69" s="69">
        <f t="shared" si="11"/>
        <v>5.9053076923076923E-3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</row>
    <row r="70" spans="1:51" s="17" customFormat="1" x14ac:dyDescent="0.3">
      <c r="A70" s="45"/>
      <c r="B70" s="51">
        <f t="shared" si="3"/>
        <v>-9.9299999999999999E-2</v>
      </c>
      <c r="C70" s="43">
        <v>-9.7692307692307696E-3</v>
      </c>
      <c r="D70" s="52">
        <f t="shared" si="7"/>
        <v>9.7008461538461541E-4</v>
      </c>
      <c r="E70" s="45"/>
      <c r="F70" s="45"/>
      <c r="G70" s="45"/>
      <c r="H70" s="45"/>
      <c r="I70" s="51">
        <f t="shared" si="4"/>
        <v>0.2336</v>
      </c>
      <c r="J70" s="43">
        <v>-9.7692307692307696E-3</v>
      </c>
      <c r="K70" s="58">
        <f t="shared" si="8"/>
        <v>-2.2820923076923077E-3</v>
      </c>
      <c r="M70" s="68">
        <f t="shared" si="5"/>
        <v>-4.8892307692307693E-2</v>
      </c>
      <c r="N70" s="43">
        <v>-9.7692307692307696E-3</v>
      </c>
      <c r="O70" s="58">
        <f t="shared" si="9"/>
        <v>4.7764023668639058E-4</v>
      </c>
      <c r="R70" s="68">
        <f t="shared" si="12"/>
        <v>-9.4500000000000001E-2</v>
      </c>
      <c r="S70" s="43">
        <v>-9.7692307692307696E-3</v>
      </c>
      <c r="T70" s="58">
        <f t="shared" si="10"/>
        <v>9.231923076923077E-4</v>
      </c>
      <c r="Y70" s="68">
        <f t="shared" si="6"/>
        <v>6.7000000000000004E-2</v>
      </c>
      <c r="Z70" s="43">
        <v>-9.7692307692307696E-3</v>
      </c>
      <c r="AA70" s="69">
        <f t="shared" si="11"/>
        <v>-6.5453846153846161E-4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</row>
    <row r="71" spans="1:51" s="17" customFormat="1" x14ac:dyDescent="0.3">
      <c r="A71" s="45"/>
      <c r="B71" s="51">
        <f t="shared" si="3"/>
        <v>-5.9499999999999997E-2</v>
      </c>
      <c r="C71" s="43">
        <v>5.9307692307692299E-3</v>
      </c>
      <c r="D71" s="52">
        <f t="shared" si="7"/>
        <v>-3.5288076923076917E-4</v>
      </c>
      <c r="E71" s="45"/>
      <c r="F71" s="45"/>
      <c r="G71" s="45"/>
      <c r="H71" s="45"/>
      <c r="I71" s="51">
        <f t="shared" si="4"/>
        <v>3.85E-2</v>
      </c>
      <c r="J71" s="43">
        <v>5.9307692307692299E-3</v>
      </c>
      <c r="K71" s="58">
        <f t="shared" si="8"/>
        <v>2.2833461538461535E-4</v>
      </c>
      <c r="M71" s="68">
        <f t="shared" si="5"/>
        <v>4.6076923076923109E-3</v>
      </c>
      <c r="N71" s="43">
        <v>5.9307692307692299E-3</v>
      </c>
      <c r="O71" s="58">
        <f t="shared" si="9"/>
        <v>2.7327159763313623E-5</v>
      </c>
      <c r="R71" s="68">
        <f t="shared" si="12"/>
        <v>9.0499999999999997E-2</v>
      </c>
      <c r="S71" s="43">
        <v>5.9307692307692299E-3</v>
      </c>
      <c r="T71" s="58">
        <f t="shared" si="10"/>
        <v>5.3673461538461531E-4</v>
      </c>
      <c r="Y71" s="68">
        <f t="shared" si="6"/>
        <v>-1.1099999999999999E-2</v>
      </c>
      <c r="Z71" s="43">
        <v>5.9307692307692299E-3</v>
      </c>
      <c r="AA71" s="69">
        <f t="shared" si="11"/>
        <v>-6.5831538461538446E-5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</row>
    <row r="72" spans="1:51" s="17" customFormat="1" x14ac:dyDescent="0.3">
      <c r="A72" s="45"/>
      <c r="B72" s="51">
        <f t="shared" si="3"/>
        <v>-7.7800000000000008E-2</v>
      </c>
      <c r="C72" s="43">
        <v>9.2307692307692299E-3</v>
      </c>
      <c r="D72" s="52">
        <f t="shared" si="7"/>
        <v>-7.1815384615384612E-4</v>
      </c>
      <c r="E72" s="45"/>
      <c r="F72" s="45"/>
      <c r="G72" s="45"/>
      <c r="H72" s="45"/>
      <c r="I72" s="51">
        <f t="shared" si="4"/>
        <v>2.9600000000000001E-2</v>
      </c>
      <c r="J72" s="43">
        <v>9.2307692307692299E-3</v>
      </c>
      <c r="K72" s="58">
        <f t="shared" si="8"/>
        <v>2.7323076923076921E-4</v>
      </c>
      <c r="M72" s="68">
        <f t="shared" si="5"/>
        <v>-7.9492307692307695E-2</v>
      </c>
      <c r="N72" s="43">
        <v>9.2307692307692299E-3</v>
      </c>
      <c r="O72" s="58">
        <f t="shared" si="9"/>
        <v>-7.3377514792899402E-4</v>
      </c>
      <c r="R72" s="68">
        <f t="shared" si="12"/>
        <v>-0.10350000000000001</v>
      </c>
      <c r="S72" s="43">
        <v>9.2307692307692299E-3</v>
      </c>
      <c r="T72" s="58">
        <f t="shared" si="10"/>
        <v>-9.5538461538461532E-4</v>
      </c>
      <c r="Y72" s="68">
        <f t="shared" si="6"/>
        <v>-0.1205</v>
      </c>
      <c r="Z72" s="43">
        <v>9.2307692307692299E-3</v>
      </c>
      <c r="AA72" s="69">
        <f t="shared" si="11"/>
        <v>-1.1123076923076922E-3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1:51" s="17" customFormat="1" x14ac:dyDescent="0.3">
      <c r="A73" s="45"/>
      <c r="B73" s="51">
        <f t="shared" si="3"/>
        <v>6.0099999999999994E-2</v>
      </c>
      <c r="C73" s="43">
        <v>5.3307692307692301E-3</v>
      </c>
      <c r="D73" s="52">
        <f t="shared" si="7"/>
        <v>3.2037923076923069E-4</v>
      </c>
      <c r="E73" s="45"/>
      <c r="F73" s="45"/>
      <c r="G73" s="45"/>
      <c r="H73" s="45"/>
      <c r="I73" s="51">
        <f t="shared" si="4"/>
        <v>-0.1019</v>
      </c>
      <c r="J73" s="43">
        <v>5.3307692307692301E-3</v>
      </c>
      <c r="K73" s="58">
        <f t="shared" si="8"/>
        <v>-5.4320538461538452E-4</v>
      </c>
      <c r="M73" s="68">
        <f t="shared" si="5"/>
        <v>3.4907692307692313E-2</v>
      </c>
      <c r="N73" s="43">
        <v>5.3307692307692301E-3</v>
      </c>
      <c r="O73" s="58">
        <f t="shared" si="9"/>
        <v>1.8608485207100592E-4</v>
      </c>
      <c r="R73" s="68">
        <f t="shared" si="12"/>
        <v>-4.3799999999999999E-2</v>
      </c>
      <c r="S73" s="43">
        <v>5.3307692307692301E-3</v>
      </c>
      <c r="T73" s="58">
        <f t="shared" si="10"/>
        <v>-2.3348769230769226E-4</v>
      </c>
      <c r="Y73" s="68">
        <f t="shared" si="6"/>
        <v>-0.1105</v>
      </c>
      <c r="Z73" s="43">
        <v>5.3307692307692301E-3</v>
      </c>
      <c r="AA73" s="69">
        <f t="shared" si="11"/>
        <v>-5.8904999999999993E-4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</row>
    <row r="74" spans="1:51" s="17" customFormat="1" x14ac:dyDescent="0.3">
      <c r="A74" s="45"/>
      <c r="B74" s="51">
        <f t="shared" si="3"/>
        <v>7.4899999999999994E-2</v>
      </c>
      <c r="C74" s="43">
        <v>-6.7692307692307696E-3</v>
      </c>
      <c r="D74" s="52">
        <f t="shared" si="7"/>
        <v>-5.0701538461538455E-4</v>
      </c>
      <c r="E74" s="45"/>
      <c r="F74" s="45"/>
      <c r="G74" s="47"/>
      <c r="H74" s="45"/>
      <c r="I74" s="51">
        <f t="shared" si="4"/>
        <v>-5.4599999999999996E-2</v>
      </c>
      <c r="J74" s="43">
        <v>-6.7692307692307696E-3</v>
      </c>
      <c r="K74" s="58">
        <f t="shared" si="8"/>
        <v>3.6959999999999998E-4</v>
      </c>
      <c r="M74" s="68">
        <f t="shared" si="5"/>
        <v>0.1046076923076923</v>
      </c>
      <c r="N74" s="43">
        <v>-6.7692307692307696E-3</v>
      </c>
      <c r="O74" s="58">
        <f t="shared" si="9"/>
        <v>-7.0811360946745569E-4</v>
      </c>
      <c r="R74" s="68">
        <f t="shared" si="12"/>
        <v>0.18730000000000002</v>
      </c>
      <c r="S74" s="43">
        <v>-6.7692307692307696E-3</v>
      </c>
      <c r="T74" s="58">
        <f t="shared" si="10"/>
        <v>-1.2678769230769233E-3</v>
      </c>
      <c r="Y74" s="68">
        <f t="shared" si="6"/>
        <v>-8.8999999999999999E-3</v>
      </c>
      <c r="Z74" s="43">
        <v>-6.7692307692307696E-3</v>
      </c>
      <c r="AA74" s="69">
        <f t="shared" si="11"/>
        <v>6.0246153846153846E-5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1:51" s="17" customFormat="1" ht="15" thickBot="1" x14ac:dyDescent="0.35">
      <c r="A75" s="45"/>
      <c r="B75" s="54"/>
      <c r="C75" s="55" t="s">
        <v>12</v>
      </c>
      <c r="D75" s="56">
        <f>SUM(D62:D74)</f>
        <v>1.9124919230769227E-2</v>
      </c>
      <c r="E75" s="45"/>
      <c r="F75" s="45"/>
      <c r="G75" s="45"/>
      <c r="H75" s="45"/>
      <c r="I75" s="54"/>
      <c r="J75" s="59" t="s">
        <v>12</v>
      </c>
      <c r="K75" s="42">
        <f>SUM(K62:K74)</f>
        <v>7.958128461538462E-3</v>
      </c>
      <c r="M75" s="41"/>
      <c r="N75" s="59" t="s">
        <v>12</v>
      </c>
      <c r="O75" s="42">
        <f>SUM(O62:O74)</f>
        <v>1.2658246923076924E-2</v>
      </c>
      <c r="R75" s="41"/>
      <c r="S75" s="59" t="s">
        <v>12</v>
      </c>
      <c r="T75" s="42">
        <f>SUM(T62:T74)</f>
        <v>1.7517583076923089E-2</v>
      </c>
      <c r="Y75" s="41"/>
      <c r="Z75" s="59" t="s">
        <v>12</v>
      </c>
      <c r="AA75" s="70">
        <f>SUM(AA62:AA74)</f>
        <v>9.4367184615384639E-3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</row>
    <row r="76" spans="1:51" s="17" customFormat="1" ht="15" thickBot="1" x14ac:dyDescent="0.35">
      <c r="A76" s="45"/>
      <c r="B76" s="45"/>
      <c r="C76" s="45"/>
      <c r="D76" s="45"/>
      <c r="E76" s="45"/>
      <c r="F76" s="45"/>
      <c r="G76" s="45"/>
      <c r="H76" s="45"/>
      <c r="I76" s="45"/>
      <c r="N76"/>
      <c r="O76"/>
      <c r="S76"/>
      <c r="T76"/>
      <c r="W76" s="16"/>
      <c r="X76" s="16"/>
      <c r="Z76"/>
      <c r="AA7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1:51" s="17" customFormat="1" ht="15" thickBot="1" x14ac:dyDescent="0.35">
      <c r="A77" s="45"/>
      <c r="B77" s="45"/>
      <c r="C77" s="62" t="s">
        <v>13</v>
      </c>
      <c r="D77" s="63">
        <f>D75/13</f>
        <v>1.4711476331360945E-3</v>
      </c>
      <c r="E77" s="45"/>
      <c r="F77" s="45"/>
      <c r="G77" s="45"/>
      <c r="H77" s="45"/>
      <c r="I77" s="45"/>
      <c r="J77" s="64" t="s">
        <v>13</v>
      </c>
      <c r="K77" s="66">
        <f>K75/13</f>
        <v>6.1216372781065093E-4</v>
      </c>
      <c r="N77" s="64" t="s">
        <v>13</v>
      </c>
      <c r="O77" s="65">
        <f>O75/13</f>
        <v>9.7371130177514799E-4</v>
      </c>
      <c r="S77" s="64" t="s">
        <v>35</v>
      </c>
      <c r="T77" s="65">
        <f>T75/13</f>
        <v>1.3475063905325454E-3</v>
      </c>
      <c r="W77" s="16"/>
      <c r="X77" s="16"/>
      <c r="Z77" s="64" t="s">
        <v>13</v>
      </c>
      <c r="AA77" s="65">
        <f>AA75/13</f>
        <v>7.2590142011834337E-4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</row>
    <row r="78" spans="1:51" s="17" customFormat="1" ht="15" thickBot="1" x14ac:dyDescent="0.35">
      <c r="A78" s="45"/>
      <c r="B78" s="45"/>
      <c r="C78" s="45"/>
      <c r="D78" s="45"/>
      <c r="E78" s="45"/>
      <c r="F78" s="45"/>
      <c r="G78" s="45"/>
      <c r="H78" s="45"/>
      <c r="I78" s="45"/>
      <c r="N78"/>
      <c r="O78"/>
      <c r="S78"/>
      <c r="T78"/>
      <c r="W78" s="16"/>
      <c r="X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1:51" s="17" customFormat="1" ht="15" thickBot="1" x14ac:dyDescent="0.35">
      <c r="C79" s="64" t="s">
        <v>23</v>
      </c>
      <c r="D79" s="65">
        <f>D77/E43</f>
        <v>1.7660073213343532</v>
      </c>
      <c r="I79"/>
      <c r="J79" s="64" t="s">
        <v>14</v>
      </c>
      <c r="K79" s="67">
        <f>K77/E43</f>
        <v>0.73485869182575059</v>
      </c>
      <c r="N79" s="64" t="s">
        <v>14</v>
      </c>
      <c r="O79" s="65">
        <f>O77/E43</f>
        <v>1.168870648376211</v>
      </c>
      <c r="R79"/>
      <c r="S79" s="64" t="s">
        <v>36</v>
      </c>
      <c r="T79" s="65">
        <f>T77/E43</f>
        <v>1.6175848688635037</v>
      </c>
      <c r="W79" s="16"/>
      <c r="X79" s="16"/>
      <c r="Z79" s="64" t="s">
        <v>36</v>
      </c>
      <c r="AA79" s="71">
        <f>AA77/E43</f>
        <v>0.87139264178621478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</row>
    <row r="80" spans="1:51" s="17" customFormat="1" x14ac:dyDescent="0.3">
      <c r="D80" s="61"/>
      <c r="X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1:51" s="17" customFormat="1" x14ac:dyDescent="0.3">
      <c r="X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</row>
    <row r="82" spans="1:51" s="17" customFormat="1" ht="21" x14ac:dyDescent="0.4">
      <c r="A82" s="95"/>
      <c r="B82" s="87" t="s">
        <v>42</v>
      </c>
      <c r="C82" s="87"/>
      <c r="D82" s="96"/>
      <c r="I82" s="87" t="s">
        <v>42</v>
      </c>
      <c r="J82" s="87"/>
      <c r="K82" s="96"/>
      <c r="L82" s="99"/>
      <c r="M82" s="87" t="s">
        <v>42</v>
      </c>
      <c r="N82" s="87"/>
      <c r="O82" s="96"/>
      <c r="R82" s="87" t="s">
        <v>42</v>
      </c>
      <c r="S82" s="87"/>
      <c r="T82" s="96"/>
      <c r="X82" s="16"/>
      <c r="Y82" s="87" t="s">
        <v>42</v>
      </c>
      <c r="Z82" s="87"/>
      <c r="AA82" s="9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spans="1:51" s="17" customFormat="1" x14ac:dyDescent="0.3">
      <c r="A83" s="95"/>
      <c r="B83" s="95"/>
      <c r="C83" s="95"/>
      <c r="D83" s="95"/>
      <c r="I83" s="95"/>
      <c r="J83" s="95"/>
      <c r="K83" s="95"/>
      <c r="L83" s="95"/>
      <c r="M83" s="95"/>
      <c r="N83" s="95"/>
      <c r="O83" s="95"/>
      <c r="R83" s="95"/>
      <c r="S83" s="95"/>
      <c r="T83" s="95"/>
      <c r="X83" s="16"/>
      <c r="Y83" s="95"/>
      <c r="Z83" s="95"/>
      <c r="AA83" s="95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 spans="1:51" s="17" customFormat="1" x14ac:dyDescent="0.3">
      <c r="A84" s="95"/>
      <c r="B84" s="95"/>
      <c r="C84" s="95"/>
      <c r="D84" s="95"/>
      <c r="I84" s="95"/>
      <c r="J84" s="95"/>
      <c r="K84" s="95"/>
      <c r="L84" s="95"/>
      <c r="M84" s="95"/>
      <c r="N84" s="95"/>
      <c r="O84" s="95"/>
      <c r="R84" s="95"/>
      <c r="S84" s="95"/>
      <c r="T84" s="95"/>
      <c r="X84" s="16"/>
      <c r="Y84" s="95"/>
      <c r="Z84" s="95"/>
      <c r="AA84" s="95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spans="1:51" s="17" customFormat="1" x14ac:dyDescent="0.3">
      <c r="A85" s="95"/>
      <c r="B85" s="95"/>
      <c r="C85" s="95"/>
      <c r="D85" s="95"/>
      <c r="I85" s="95"/>
      <c r="J85" s="95"/>
      <c r="K85" s="95"/>
      <c r="L85" s="95"/>
      <c r="M85" s="95"/>
      <c r="N85" s="95"/>
      <c r="O85" s="95"/>
      <c r="R85" s="95"/>
      <c r="S85" s="95"/>
      <c r="T85" s="95"/>
      <c r="Y85" s="95"/>
      <c r="Z85" s="95"/>
      <c r="AA85" s="95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</row>
    <row r="86" spans="1:51" s="17" customFormat="1" x14ac:dyDescent="0.3">
      <c r="A86" s="95"/>
      <c r="B86" s="95"/>
      <c r="C86" s="95"/>
      <c r="D86" s="95"/>
      <c r="I86" s="95"/>
      <c r="J86" s="95"/>
      <c r="K86" s="95"/>
      <c r="L86" s="95"/>
      <c r="M86" s="95"/>
      <c r="N86" s="95"/>
      <c r="O86" s="95"/>
      <c r="R86" s="95"/>
      <c r="S86" s="95"/>
      <c r="T86" s="95"/>
      <c r="Y86" s="95"/>
      <c r="Z86" s="95"/>
      <c r="AA86" s="95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spans="1:51" s="17" customFormat="1" ht="15.6" x14ac:dyDescent="0.3">
      <c r="A87" s="88" t="s">
        <v>43</v>
      </c>
      <c r="B87" s="89">
        <f>6.521% /13</f>
        <v>5.0161538461538464E-3</v>
      </c>
      <c r="C87" s="95"/>
      <c r="D87" s="95"/>
      <c r="I87" s="88" t="s">
        <v>43</v>
      </c>
      <c r="J87" s="89">
        <f>6.521% /13</f>
        <v>5.0161538461538464E-3</v>
      </c>
      <c r="K87" s="95"/>
      <c r="L87" s="95"/>
      <c r="M87" s="88" t="s">
        <v>43</v>
      </c>
      <c r="N87" s="89">
        <f>6.521% /13</f>
        <v>5.0161538461538464E-3</v>
      </c>
      <c r="O87" s="95"/>
      <c r="R87" s="88" t="s">
        <v>43</v>
      </c>
      <c r="S87" s="89">
        <f>6.521% /13</f>
        <v>5.0161538461538464E-3</v>
      </c>
      <c r="T87" s="95"/>
      <c r="Y87" s="88" t="s">
        <v>43</v>
      </c>
      <c r="Z87" s="89">
        <f>6.521% /13</f>
        <v>5.0161538461538464E-3</v>
      </c>
      <c r="AA87" s="95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 spans="1:51" s="17" customFormat="1" ht="15.6" x14ac:dyDescent="0.3">
      <c r="A88" s="88" t="s">
        <v>14</v>
      </c>
      <c r="B88" s="88">
        <f>D79</f>
        <v>1.7660073213343532</v>
      </c>
      <c r="C88" s="95"/>
      <c r="D88" s="95"/>
      <c r="I88" s="88" t="s">
        <v>14</v>
      </c>
      <c r="J88" s="89">
        <f>K79</f>
        <v>0.73485869182575059</v>
      </c>
      <c r="K88" s="95"/>
      <c r="L88" s="95"/>
      <c r="M88" s="88" t="s">
        <v>14</v>
      </c>
      <c r="N88" s="89">
        <f>O79</f>
        <v>1.168870648376211</v>
      </c>
      <c r="O88" s="95"/>
      <c r="R88" s="88" t="s">
        <v>14</v>
      </c>
      <c r="S88" s="89">
        <f>T79</f>
        <v>1.6175848688635037</v>
      </c>
      <c r="T88" s="95"/>
      <c r="Y88" s="88" t="s">
        <v>14</v>
      </c>
      <c r="Z88" s="89">
        <f>AA79</f>
        <v>0.87139264178621478</v>
      </c>
      <c r="AA88" s="95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spans="1:51" ht="15.6" x14ac:dyDescent="0.3">
      <c r="A89" s="90" t="s">
        <v>44</v>
      </c>
      <c r="B89" s="91">
        <f>E57</f>
        <v>6.4999999999999997E-3</v>
      </c>
      <c r="C89" s="97"/>
      <c r="D89" s="97"/>
      <c r="I89" s="90" t="s">
        <v>44</v>
      </c>
      <c r="J89" s="91">
        <f>J57</f>
        <v>6.4999999999999997E-3</v>
      </c>
      <c r="K89" s="97"/>
      <c r="L89" s="97"/>
      <c r="M89" s="90" t="s">
        <v>44</v>
      </c>
      <c r="N89" s="91">
        <f>J89</f>
        <v>6.4999999999999997E-3</v>
      </c>
      <c r="O89" s="97"/>
      <c r="R89" s="90" t="s">
        <v>44</v>
      </c>
      <c r="S89" s="91">
        <f>N89</f>
        <v>6.4999999999999997E-3</v>
      </c>
      <c r="T89" s="97"/>
      <c r="Y89" s="90" t="s">
        <v>44</v>
      </c>
      <c r="Z89" s="91">
        <f>S89</f>
        <v>6.4999999999999997E-3</v>
      </c>
      <c r="AA89" s="97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1:51" ht="15.6" x14ac:dyDescent="0.3">
      <c r="A90" s="90"/>
      <c r="B90" s="90"/>
      <c r="C90" s="97"/>
      <c r="D90" s="97"/>
      <c r="I90" s="90"/>
      <c r="J90" s="90"/>
      <c r="K90" s="97"/>
      <c r="L90" s="97"/>
      <c r="M90" s="90"/>
      <c r="N90" s="90"/>
      <c r="O90" s="97"/>
      <c r="R90" s="90"/>
      <c r="S90" s="90"/>
      <c r="T90" s="97"/>
      <c r="Y90" s="90"/>
      <c r="Z90" s="90"/>
      <c r="AA90" s="97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1:51" ht="15.6" x14ac:dyDescent="0.3">
      <c r="A91" s="92" t="s">
        <v>45</v>
      </c>
      <c r="B91" s="93">
        <f>B89-B87</f>
        <v>1.4838461538461533E-3</v>
      </c>
      <c r="C91" s="97"/>
      <c r="D91" s="97"/>
      <c r="I91" s="92" t="s">
        <v>45</v>
      </c>
      <c r="J91" s="93">
        <f>J89-J87</f>
        <v>1.4838461538461533E-3</v>
      </c>
      <c r="K91" s="97"/>
      <c r="L91" s="97"/>
      <c r="M91" s="92" t="s">
        <v>45</v>
      </c>
      <c r="N91" s="93">
        <f>N89-N87</f>
        <v>1.4838461538461533E-3</v>
      </c>
      <c r="O91" s="97"/>
      <c r="R91" s="92" t="s">
        <v>45</v>
      </c>
      <c r="S91" s="93">
        <f>S89-S87</f>
        <v>1.4838461538461533E-3</v>
      </c>
      <c r="T91" s="97"/>
      <c r="Y91" s="92" t="s">
        <v>45</v>
      </c>
      <c r="Z91" s="93">
        <f>Z89-Z87</f>
        <v>1.4838461538461533E-3</v>
      </c>
      <c r="AA91" s="97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1:51" ht="15.6" x14ac:dyDescent="0.3">
      <c r="A92" s="92" t="s">
        <v>46</v>
      </c>
      <c r="B92" s="93">
        <f>B91*B88</f>
        <v>2.6204831714261279E-3</v>
      </c>
      <c r="C92" s="97"/>
      <c r="D92" s="97"/>
      <c r="I92" s="92" t="s">
        <v>46</v>
      </c>
      <c r="J92" s="93">
        <f>J91*J88</f>
        <v>1.0904172434860557E-3</v>
      </c>
      <c r="K92" s="97"/>
      <c r="L92" s="97"/>
      <c r="M92" s="92" t="s">
        <v>46</v>
      </c>
      <c r="N92" s="93">
        <f>N91*N88</f>
        <v>1.7344242159367002E-3</v>
      </c>
      <c r="O92" s="97"/>
      <c r="R92" s="92" t="s">
        <v>46</v>
      </c>
      <c r="S92" s="93">
        <f>S91*S88</f>
        <v>2.4002470861828442E-3</v>
      </c>
      <c r="T92" s="97"/>
      <c r="Y92" s="92" t="s">
        <v>46</v>
      </c>
      <c r="Z92" s="93">
        <f>Z91*Z88</f>
        <v>1.2930126200043136E-3</v>
      </c>
      <c r="AA92" s="97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1:51" ht="15.6" x14ac:dyDescent="0.3">
      <c r="A93" s="92" t="s">
        <v>47</v>
      </c>
      <c r="B93" s="94">
        <f>B92+B87</f>
        <v>7.6366370175799739E-3</v>
      </c>
      <c r="C93" s="97"/>
      <c r="D93" s="97"/>
      <c r="I93" s="92" t="s">
        <v>47</v>
      </c>
      <c r="J93" s="98">
        <f>J92+J87</f>
        <v>6.1065710896399021E-3</v>
      </c>
      <c r="K93" s="97"/>
      <c r="L93" s="97"/>
      <c r="M93" s="92" t="s">
        <v>47</v>
      </c>
      <c r="N93" s="98">
        <f>N92+N87</f>
        <v>6.7505780620905464E-3</v>
      </c>
      <c r="O93" s="97"/>
      <c r="R93" s="92" t="s">
        <v>47</v>
      </c>
      <c r="S93" s="98">
        <f>S92+S87</f>
        <v>7.4164009323366906E-3</v>
      </c>
      <c r="T93" s="97"/>
      <c r="Y93" s="92" t="s">
        <v>47</v>
      </c>
      <c r="Z93" s="98">
        <f>Z92+Z87</f>
        <v>6.3091664661581604E-3</v>
      </c>
      <c r="AA93" s="97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1:51" ht="15.6" x14ac:dyDescent="0.3">
      <c r="A94" s="92" t="s">
        <v>48</v>
      </c>
      <c r="B94" s="94">
        <f>B93*100</f>
        <v>0.76366370175799736</v>
      </c>
      <c r="C94" s="97"/>
      <c r="D94" s="97"/>
      <c r="I94" s="92" t="s">
        <v>48</v>
      </c>
      <c r="J94" s="94">
        <f>J93*100</f>
        <v>0.61065710896399017</v>
      </c>
      <c r="K94" s="97"/>
      <c r="L94" s="97"/>
      <c r="M94" s="92" t="s">
        <v>48</v>
      </c>
      <c r="N94" s="94">
        <f>N93*100</f>
        <v>0.67505780620905464</v>
      </c>
      <c r="O94" s="97"/>
      <c r="R94" s="92" t="s">
        <v>48</v>
      </c>
      <c r="S94" s="94">
        <f>S93*100</f>
        <v>0.74164009323366908</v>
      </c>
      <c r="T94" s="97"/>
      <c r="Y94" s="92" t="s">
        <v>48</v>
      </c>
      <c r="Z94" s="94">
        <f>Z93*100</f>
        <v>0.63091664661581603</v>
      </c>
      <c r="AA94" s="97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1:51" x14ac:dyDescent="0.3">
      <c r="A95" s="97"/>
      <c r="B95" s="97"/>
      <c r="C95" s="97"/>
      <c r="D95" s="97"/>
      <c r="I95" s="97"/>
      <c r="J95" s="97"/>
      <c r="K95" s="97"/>
      <c r="L95" s="97"/>
      <c r="M95" s="97"/>
      <c r="N95" s="97"/>
      <c r="O95" s="97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8" spans="1:27" ht="23.4" x14ac:dyDescent="0.45">
      <c r="I98" s="100"/>
    </row>
    <row r="99" spans="1:27" ht="23.4" x14ac:dyDescent="0.45">
      <c r="B99" s="85" t="s">
        <v>49</v>
      </c>
      <c r="C99" s="84"/>
      <c r="D99" s="84"/>
      <c r="I99" s="85" t="s">
        <v>50</v>
      </c>
      <c r="J99" s="84"/>
      <c r="K99" s="84"/>
      <c r="M99" s="85" t="s">
        <v>51</v>
      </c>
      <c r="N99" s="84"/>
      <c r="O99" s="84"/>
      <c r="R99" s="85" t="s">
        <v>52</v>
      </c>
      <c r="S99" s="84"/>
      <c r="T99" s="84"/>
      <c r="Y99" s="85" t="s">
        <v>53</v>
      </c>
      <c r="Z99" s="84"/>
      <c r="AA99" s="84"/>
    </row>
    <row r="102" spans="1:27" ht="23.4" x14ac:dyDescent="0.45">
      <c r="I102" s="86">
        <f>CORREL(Table6[Price BLKI],Table11[Change %])</f>
        <v>0.26242514051307475</v>
      </c>
      <c r="M102" s="86">
        <f>CORREL(Table8[Change %],Table11[Change %])</f>
        <v>0.46980252763890301</v>
      </c>
      <c r="R102" s="86">
        <f>CORREL(Table9[Price Appolo],Table11[Price NIFTY 50])</f>
        <v>0.30188859607268687</v>
      </c>
      <c r="Z102" s="86">
        <f>CORREL(Table10[Change %],Table11[Change %])</f>
        <v>0.29890914838589472</v>
      </c>
    </row>
    <row r="103" spans="1:27" ht="23.4" x14ac:dyDescent="0.45">
      <c r="A103" s="86">
        <f>CORREL(Table2[Change %],Table11[Change %])</f>
        <v>0.52429941897197307</v>
      </c>
    </row>
  </sheetData>
  <mergeCells count="6">
    <mergeCell ref="Y53:AC55"/>
    <mergeCell ref="A18:E21"/>
    <mergeCell ref="B53:F55"/>
    <mergeCell ref="I53:K55"/>
    <mergeCell ref="M53:P55"/>
    <mergeCell ref="S53:W55"/>
  </mergeCells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6"/>
  <sheetViews>
    <sheetView zoomScale="95" workbookViewId="0">
      <selection activeCell="C10" sqref="C10"/>
    </sheetView>
  </sheetViews>
  <sheetFormatPr defaultRowHeight="14.4" x14ac:dyDescent="0.3"/>
  <cols>
    <col min="1" max="1" width="10.6640625" bestFit="1" customWidth="1"/>
    <col min="2" max="2" width="10.88671875" bestFit="1" customWidth="1"/>
    <col min="3" max="5" width="10.44140625" bestFit="1" customWidth="1"/>
    <col min="6" max="6" width="10.6640625" bestFit="1" customWidth="1"/>
    <col min="7" max="7" width="18.88671875" bestFit="1" customWidth="1"/>
    <col min="8" max="8" width="10.33203125" bestFit="1" customWidth="1"/>
  </cols>
  <sheetData>
    <row r="1" spans="1:25" x14ac:dyDescent="0.3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</row>
    <row r="2" spans="1:25" x14ac:dyDescent="0.3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5" x14ac:dyDescent="0.3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</row>
    <row r="5" spans="1:25" x14ac:dyDescent="0.3">
      <c r="A5" s="1"/>
      <c r="B5" s="2"/>
      <c r="D5" s="2"/>
      <c r="F5" s="2"/>
      <c r="G5" s="3"/>
    </row>
    <row r="6" spans="1:25" x14ac:dyDescent="0.3">
      <c r="A6" s="1"/>
      <c r="B6" s="2"/>
      <c r="D6" s="2"/>
      <c r="F6" s="2"/>
      <c r="G6" s="3"/>
      <c r="H6" s="4"/>
    </row>
    <row r="7" spans="1:25" x14ac:dyDescent="0.3">
      <c r="A7" s="1"/>
      <c r="B7" s="2"/>
      <c r="D7" s="2"/>
      <c r="F7" s="2"/>
      <c r="G7" s="3"/>
      <c r="H7" s="4"/>
    </row>
    <row r="8" spans="1:25" x14ac:dyDescent="0.3">
      <c r="A8" s="1"/>
      <c r="B8" s="2"/>
      <c r="D8" s="2"/>
      <c r="F8" s="2"/>
      <c r="G8" s="3"/>
      <c r="H8" s="4"/>
    </row>
    <row r="9" spans="1:25" x14ac:dyDescent="0.3">
      <c r="A9" s="1"/>
      <c r="B9" s="2"/>
      <c r="D9" s="2"/>
      <c r="F9" s="2"/>
      <c r="G9" s="3"/>
      <c r="H9" s="4"/>
    </row>
    <row r="10" spans="1:25" x14ac:dyDescent="0.3">
      <c r="A10" s="1"/>
      <c r="B10" s="2"/>
      <c r="D10" s="2"/>
      <c r="F10" s="2"/>
      <c r="G10" s="3"/>
      <c r="H10" s="4"/>
    </row>
    <row r="11" spans="1:25" x14ac:dyDescent="0.3">
      <c r="A11" s="1"/>
      <c r="B11" s="2"/>
      <c r="D11" s="2"/>
      <c r="F11" s="2"/>
      <c r="G11" s="3"/>
      <c r="H11" s="4"/>
    </row>
    <row r="12" spans="1:25" x14ac:dyDescent="0.3">
      <c r="A12" s="1"/>
      <c r="B12" s="2"/>
      <c r="D12" s="2"/>
      <c r="F12" s="2"/>
      <c r="G12" s="3"/>
      <c r="H12" s="4"/>
    </row>
    <row r="13" spans="1:25" x14ac:dyDescent="0.3">
      <c r="A13" s="1"/>
      <c r="B13" s="2"/>
      <c r="D13" s="2"/>
      <c r="F13" s="2"/>
      <c r="G13" s="3"/>
      <c r="H13" s="4"/>
    </row>
    <row r="14" spans="1:25" x14ac:dyDescent="0.3">
      <c r="A14" s="1"/>
      <c r="B14" s="2"/>
      <c r="D14" s="2"/>
      <c r="F14" s="2"/>
      <c r="G14" s="3"/>
      <c r="H14" s="4"/>
    </row>
    <row r="15" spans="1:25" x14ac:dyDescent="0.3">
      <c r="A15" s="1"/>
      <c r="B15" s="2"/>
      <c r="D15" s="2"/>
      <c r="F15" s="2"/>
      <c r="G15" s="3"/>
      <c r="H15" s="4"/>
    </row>
    <row r="16" spans="1:25" x14ac:dyDescent="0.3">
      <c r="A16" s="1"/>
      <c r="B16" s="2"/>
      <c r="D16" s="2"/>
      <c r="F16" s="2"/>
      <c r="G16" s="3"/>
      <c r="H16" s="4"/>
    </row>
    <row r="17" spans="1:8" x14ac:dyDescent="0.3">
      <c r="A17" s="1"/>
      <c r="B17" s="2"/>
      <c r="D17" s="2"/>
      <c r="F17" s="2"/>
      <c r="G17" s="3"/>
      <c r="H17" s="4"/>
    </row>
    <row r="18" spans="1:8" x14ac:dyDescent="0.3">
      <c r="A18" s="1"/>
      <c r="B18" s="2"/>
      <c r="D18" s="2"/>
      <c r="F18" s="2"/>
      <c r="G18" s="3"/>
      <c r="H18" s="4"/>
    </row>
    <row r="19" spans="1:8" x14ac:dyDescent="0.3">
      <c r="A19" s="1"/>
      <c r="B19" s="2"/>
      <c r="D19" s="2"/>
      <c r="F19" s="2"/>
      <c r="G19" s="3"/>
      <c r="H19" s="4"/>
    </row>
    <row r="20" spans="1:8" x14ac:dyDescent="0.3">
      <c r="A20" s="1"/>
      <c r="B20" s="2"/>
      <c r="D20" s="2"/>
      <c r="F20" s="2"/>
      <c r="G20" s="3"/>
      <c r="H20" s="4"/>
    </row>
    <row r="21" spans="1:8" x14ac:dyDescent="0.3">
      <c r="A21" s="1"/>
      <c r="B21" s="2"/>
      <c r="D21" s="2"/>
      <c r="F21" s="2"/>
      <c r="G21" s="3"/>
      <c r="H21" s="4"/>
    </row>
    <row r="22" spans="1:8" x14ac:dyDescent="0.3">
      <c r="A22" s="1"/>
      <c r="B22" s="2"/>
      <c r="D22" s="2"/>
      <c r="F22" s="2"/>
      <c r="G22" s="3"/>
      <c r="H22" s="4"/>
    </row>
    <row r="23" spans="1:8" x14ac:dyDescent="0.3">
      <c r="A23" s="1"/>
      <c r="B23" s="2"/>
      <c r="D23" s="2"/>
      <c r="F23" s="2"/>
      <c r="G23" s="3"/>
      <c r="H23" s="4"/>
    </row>
    <row r="24" spans="1:8" x14ac:dyDescent="0.3">
      <c r="A24" s="1"/>
      <c r="B24" s="2"/>
      <c r="D24" s="2"/>
      <c r="F24" s="2"/>
      <c r="G24" s="3"/>
      <c r="H24" s="4"/>
    </row>
    <row r="25" spans="1:8" x14ac:dyDescent="0.3">
      <c r="A25" s="1"/>
      <c r="B25" s="2"/>
      <c r="D25" s="2"/>
      <c r="F25" s="2"/>
      <c r="G25" s="3"/>
      <c r="H25" s="4"/>
    </row>
    <row r="26" spans="1:8" x14ac:dyDescent="0.3">
      <c r="A26" s="1"/>
      <c r="B26" s="2"/>
      <c r="D26" s="2"/>
      <c r="F26" s="2"/>
      <c r="G26" s="3"/>
      <c r="H26" s="4"/>
    </row>
    <row r="27" spans="1:8" x14ac:dyDescent="0.3">
      <c r="A27" s="1"/>
      <c r="B27" s="2"/>
      <c r="D27" s="2"/>
      <c r="F27" s="2"/>
      <c r="G27" s="3"/>
      <c r="H27" s="4"/>
    </row>
    <row r="28" spans="1:8" x14ac:dyDescent="0.3">
      <c r="A28" s="1"/>
      <c r="B28" s="2"/>
      <c r="D28" s="2"/>
      <c r="F28" s="2"/>
      <c r="G28" s="3"/>
      <c r="H28" s="4"/>
    </row>
    <row r="29" spans="1:8" x14ac:dyDescent="0.3">
      <c r="A29" s="1"/>
      <c r="B29" s="2"/>
      <c r="D29" s="2"/>
      <c r="F29" s="2"/>
      <c r="G29" s="3"/>
      <c r="H29" s="4"/>
    </row>
    <row r="30" spans="1:8" x14ac:dyDescent="0.3">
      <c r="A30" s="1"/>
      <c r="B30" s="2"/>
      <c r="D30" s="2"/>
      <c r="F30" s="2"/>
      <c r="G30" s="3"/>
      <c r="H30" s="4"/>
    </row>
    <row r="31" spans="1:8" x14ac:dyDescent="0.3">
      <c r="A31" s="1"/>
      <c r="B31" s="2"/>
      <c r="D31" s="2"/>
      <c r="F31" s="2"/>
      <c r="G31" s="3"/>
      <c r="H31" s="4"/>
    </row>
    <row r="32" spans="1:8" x14ac:dyDescent="0.3">
      <c r="A32" s="1"/>
      <c r="B32" s="2"/>
      <c r="D32" s="2"/>
      <c r="F32" s="2"/>
      <c r="G32" s="3"/>
      <c r="H32" s="4"/>
    </row>
    <row r="33" spans="1:8" x14ac:dyDescent="0.3">
      <c r="A33" s="1"/>
      <c r="B33" s="2"/>
      <c r="D33" s="2"/>
      <c r="F33" s="2"/>
      <c r="G33" s="3"/>
      <c r="H33" s="4"/>
    </row>
    <row r="34" spans="1:8" x14ac:dyDescent="0.3">
      <c r="A34" s="1"/>
      <c r="B34" s="2"/>
      <c r="D34" s="2"/>
      <c r="F34" s="2"/>
      <c r="G34" s="3"/>
      <c r="H34" s="4"/>
    </row>
    <row r="35" spans="1:8" x14ac:dyDescent="0.3">
      <c r="A35" s="1"/>
      <c r="B35" s="2"/>
      <c r="D35" s="2"/>
      <c r="F35" s="2"/>
      <c r="G35" s="3"/>
      <c r="H35" s="4"/>
    </row>
    <row r="36" spans="1:8" x14ac:dyDescent="0.3">
      <c r="A36" s="1"/>
      <c r="B36" s="2"/>
      <c r="F36" s="2"/>
      <c r="G36" s="3"/>
      <c r="H36" s="4"/>
    </row>
    <row r="37" spans="1:8" x14ac:dyDescent="0.3">
      <c r="A37" s="1"/>
      <c r="B37" s="2"/>
      <c r="D37" s="2"/>
      <c r="F37" s="2"/>
      <c r="G37" s="3"/>
      <c r="H37" s="4"/>
    </row>
    <row r="38" spans="1:8" x14ac:dyDescent="0.3">
      <c r="A38" s="1"/>
      <c r="B38" s="2"/>
      <c r="D38" s="2"/>
      <c r="F38" s="2"/>
      <c r="G38" s="3"/>
      <c r="H38" s="4"/>
    </row>
    <row r="39" spans="1:8" x14ac:dyDescent="0.3">
      <c r="A39" s="1"/>
      <c r="B39" s="2"/>
      <c r="F39" s="2"/>
      <c r="G39" s="3"/>
      <c r="H39" s="4"/>
    </row>
    <row r="40" spans="1:8" x14ac:dyDescent="0.3">
      <c r="A40" s="1"/>
      <c r="B40" s="2"/>
      <c r="F40" s="2"/>
      <c r="G40" s="3"/>
      <c r="H40" s="4"/>
    </row>
    <row r="41" spans="1:8" x14ac:dyDescent="0.3">
      <c r="A41" s="1"/>
      <c r="B41" s="2"/>
      <c r="D41" s="2"/>
      <c r="F41" s="2"/>
      <c r="G41" s="3"/>
      <c r="H41" s="4"/>
    </row>
    <row r="42" spans="1:8" x14ac:dyDescent="0.3">
      <c r="A42" s="1"/>
      <c r="B42" s="2"/>
      <c r="D42" s="2"/>
      <c r="F42" s="2"/>
      <c r="G42" s="3"/>
      <c r="H42" s="4"/>
    </row>
    <row r="43" spans="1:8" x14ac:dyDescent="0.3">
      <c r="A43" s="1"/>
      <c r="B43" s="2"/>
      <c r="D43" s="2"/>
      <c r="F43" s="2"/>
      <c r="G43" s="3"/>
      <c r="H43" s="4"/>
    </row>
    <row r="44" spans="1:8" x14ac:dyDescent="0.3">
      <c r="A44" s="1"/>
      <c r="B44" s="2"/>
      <c r="D44" s="2"/>
      <c r="F44" s="2"/>
      <c r="G44" s="3"/>
      <c r="H44" s="4"/>
    </row>
    <row r="45" spans="1:8" x14ac:dyDescent="0.3">
      <c r="A45" s="1"/>
      <c r="B45" s="2"/>
      <c r="D45" s="2"/>
      <c r="F45" s="2"/>
      <c r="G45" s="3"/>
      <c r="H45" s="4"/>
    </row>
    <row r="46" spans="1:8" x14ac:dyDescent="0.3">
      <c r="A46" s="1"/>
      <c r="B46" s="2"/>
      <c r="D46" s="2"/>
      <c r="F46" s="2"/>
      <c r="G46" s="3"/>
      <c r="H46" s="4"/>
    </row>
    <row r="47" spans="1:8" x14ac:dyDescent="0.3">
      <c r="A47" s="1"/>
      <c r="B47" s="2"/>
      <c r="D47" s="2"/>
      <c r="F47" s="2"/>
      <c r="G47" s="3"/>
      <c r="H47" s="4"/>
    </row>
    <row r="48" spans="1:8" x14ac:dyDescent="0.3">
      <c r="A48" s="1"/>
      <c r="B48" s="2"/>
      <c r="D48" s="2"/>
      <c r="F48" s="2"/>
      <c r="G48" s="3"/>
      <c r="H48" s="4"/>
    </row>
    <row r="49" spans="1:8" x14ac:dyDescent="0.3">
      <c r="A49" s="1"/>
      <c r="B49" s="2"/>
      <c r="D49" s="2"/>
      <c r="F49" s="2"/>
      <c r="G49" s="3"/>
      <c r="H49" s="4"/>
    </row>
    <row r="50" spans="1:8" x14ac:dyDescent="0.3">
      <c r="A50" s="1"/>
      <c r="B50" s="2"/>
      <c r="D50" s="2"/>
      <c r="F50" s="2"/>
      <c r="G50" s="3"/>
      <c r="H50" s="4"/>
    </row>
    <row r="51" spans="1:8" x14ac:dyDescent="0.3">
      <c r="A51" s="1"/>
      <c r="B51" s="2"/>
      <c r="D51" s="2"/>
      <c r="F51" s="2"/>
      <c r="G51" s="3"/>
      <c r="H51" s="4"/>
    </row>
    <row r="52" spans="1:8" x14ac:dyDescent="0.3">
      <c r="A52" s="1"/>
      <c r="B52" s="2"/>
      <c r="D52" s="2"/>
      <c r="F52" s="2"/>
      <c r="G52" s="3"/>
      <c r="H52" s="4"/>
    </row>
    <row r="53" spans="1:8" x14ac:dyDescent="0.3">
      <c r="A53" s="1"/>
      <c r="B53" s="2"/>
      <c r="D53" s="2"/>
      <c r="F53" s="2"/>
      <c r="G53" s="3"/>
      <c r="H53" s="4"/>
    </row>
    <row r="54" spans="1:8" x14ac:dyDescent="0.3">
      <c r="D54" s="2"/>
    </row>
    <row r="55" spans="1:8" x14ac:dyDescent="0.3">
      <c r="D55" s="2"/>
    </row>
    <row r="56" spans="1:8" x14ac:dyDescent="0.3">
      <c r="D56" s="2"/>
    </row>
    <row r="57" spans="1:8" x14ac:dyDescent="0.3">
      <c r="D57" s="2"/>
      <c r="H57" s="3"/>
    </row>
    <row r="58" spans="1:8" x14ac:dyDescent="0.3">
      <c r="A58" s="3"/>
      <c r="D58" s="2"/>
    </row>
    <row r="59" spans="1:8" x14ac:dyDescent="0.3">
      <c r="D59" s="2"/>
    </row>
    <row r="60" spans="1:8" x14ac:dyDescent="0.3">
      <c r="D60" s="2"/>
    </row>
    <row r="61" spans="1:8" x14ac:dyDescent="0.3">
      <c r="D61" s="2"/>
    </row>
    <row r="62" spans="1:8" x14ac:dyDescent="0.3">
      <c r="D62" s="2"/>
    </row>
    <row r="63" spans="1:8" x14ac:dyDescent="0.3">
      <c r="D63" s="2"/>
    </row>
    <row r="64" spans="1:8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  <row r="177" spans="4:4" x14ac:dyDescent="0.3">
      <c r="D177" s="2"/>
    </row>
    <row r="178" spans="4:4" x14ac:dyDescent="0.3">
      <c r="D178" s="2"/>
    </row>
    <row r="179" spans="4:4" x14ac:dyDescent="0.3">
      <c r="D179" s="2"/>
    </row>
    <row r="180" spans="4:4" x14ac:dyDescent="0.3">
      <c r="D180" s="2"/>
    </row>
    <row r="181" spans="4:4" x14ac:dyDescent="0.3">
      <c r="D181" s="2"/>
    </row>
    <row r="182" spans="4:4" x14ac:dyDescent="0.3">
      <c r="D182" s="2"/>
    </row>
    <row r="183" spans="4:4" x14ac:dyDescent="0.3">
      <c r="D183" s="2"/>
    </row>
    <row r="184" spans="4:4" x14ac:dyDescent="0.3">
      <c r="D184" s="2"/>
    </row>
    <row r="185" spans="4:4" x14ac:dyDescent="0.3">
      <c r="D185" s="2"/>
    </row>
    <row r="186" spans="4:4" x14ac:dyDescent="0.3">
      <c r="D186" s="2"/>
    </row>
    <row r="187" spans="4:4" x14ac:dyDescent="0.3">
      <c r="D187" s="2"/>
    </row>
    <row r="188" spans="4:4" x14ac:dyDescent="0.3">
      <c r="D188" s="2"/>
    </row>
    <row r="189" spans="4:4" x14ac:dyDescent="0.3">
      <c r="D189" s="2"/>
    </row>
    <row r="190" spans="4:4" x14ac:dyDescent="0.3">
      <c r="D190" s="2"/>
    </row>
    <row r="191" spans="4:4" x14ac:dyDescent="0.3">
      <c r="D191" s="2"/>
    </row>
    <row r="192" spans="4:4" x14ac:dyDescent="0.3">
      <c r="D192" s="2"/>
    </row>
    <row r="193" spans="4:4" x14ac:dyDescent="0.3">
      <c r="D193" s="2"/>
    </row>
    <row r="194" spans="4:4" x14ac:dyDescent="0.3">
      <c r="D194" s="2"/>
    </row>
    <row r="195" spans="4:4" x14ac:dyDescent="0.3">
      <c r="D195" s="2"/>
    </row>
    <row r="196" spans="4:4" x14ac:dyDescent="0.3">
      <c r="D196" s="2"/>
    </row>
    <row r="197" spans="4:4" x14ac:dyDescent="0.3">
      <c r="D197" s="2"/>
    </row>
    <row r="198" spans="4:4" x14ac:dyDescent="0.3">
      <c r="D198" s="2"/>
    </row>
    <row r="199" spans="4:4" x14ac:dyDescent="0.3">
      <c r="D199" s="2"/>
    </row>
    <row r="200" spans="4:4" x14ac:dyDescent="0.3">
      <c r="D200" s="2"/>
    </row>
    <row r="201" spans="4:4" x14ac:dyDescent="0.3">
      <c r="D201" s="2"/>
    </row>
    <row r="202" spans="4:4" x14ac:dyDescent="0.3">
      <c r="D202" s="2"/>
    </row>
    <row r="203" spans="4:4" x14ac:dyDescent="0.3">
      <c r="D203" s="2"/>
    </row>
    <row r="204" spans="4:4" x14ac:dyDescent="0.3">
      <c r="D204" s="2"/>
    </row>
    <row r="205" spans="4:4" x14ac:dyDescent="0.3">
      <c r="D205" s="2"/>
    </row>
    <row r="206" spans="4:4" x14ac:dyDescent="0.3">
      <c r="D206" s="2"/>
    </row>
    <row r="207" spans="4:4" x14ac:dyDescent="0.3">
      <c r="D207" s="2"/>
    </row>
    <row r="208" spans="4:4" x14ac:dyDescent="0.3">
      <c r="D208" s="2"/>
    </row>
    <row r="209" spans="4:4" x14ac:dyDescent="0.3">
      <c r="D209" s="2"/>
    </row>
    <row r="210" spans="4:4" x14ac:dyDescent="0.3">
      <c r="D210" s="2"/>
    </row>
    <row r="211" spans="4:4" x14ac:dyDescent="0.3">
      <c r="D211" s="2"/>
    </row>
    <row r="212" spans="4:4" x14ac:dyDescent="0.3">
      <c r="D212" s="2"/>
    </row>
    <row r="213" spans="4:4" x14ac:dyDescent="0.3">
      <c r="D213" s="2"/>
    </row>
    <row r="214" spans="4:4" x14ac:dyDescent="0.3">
      <c r="D214" s="2"/>
    </row>
    <row r="215" spans="4:4" x14ac:dyDescent="0.3">
      <c r="D215" s="2"/>
    </row>
    <row r="216" spans="4:4" x14ac:dyDescent="0.3">
      <c r="D216" s="2"/>
    </row>
    <row r="217" spans="4:4" x14ac:dyDescent="0.3">
      <c r="D217" s="2"/>
    </row>
    <row r="218" spans="4:4" x14ac:dyDescent="0.3">
      <c r="D218" s="2"/>
    </row>
    <row r="219" spans="4:4" x14ac:dyDescent="0.3">
      <c r="D219" s="2"/>
    </row>
    <row r="220" spans="4:4" x14ac:dyDescent="0.3">
      <c r="D220" s="2"/>
    </row>
    <row r="221" spans="4:4" x14ac:dyDescent="0.3">
      <c r="D221" s="2"/>
    </row>
    <row r="222" spans="4:4" x14ac:dyDescent="0.3">
      <c r="D222" s="2"/>
    </row>
    <row r="223" spans="4:4" x14ac:dyDescent="0.3">
      <c r="D223" s="2"/>
    </row>
    <row r="224" spans="4:4" x14ac:dyDescent="0.3">
      <c r="D224" s="2"/>
    </row>
    <row r="225" spans="4:4" x14ac:dyDescent="0.3">
      <c r="D225" s="2"/>
    </row>
    <row r="226" spans="4:4" x14ac:dyDescent="0.3">
      <c r="D226" s="2"/>
    </row>
    <row r="227" spans="4:4" x14ac:dyDescent="0.3">
      <c r="D227" s="2"/>
    </row>
    <row r="228" spans="4:4" x14ac:dyDescent="0.3">
      <c r="D228" s="2"/>
    </row>
    <row r="229" spans="4:4" x14ac:dyDescent="0.3">
      <c r="D229" s="2"/>
    </row>
    <row r="230" spans="4:4" x14ac:dyDescent="0.3">
      <c r="D230" s="2"/>
    </row>
    <row r="231" spans="4:4" x14ac:dyDescent="0.3">
      <c r="D231" s="2"/>
    </row>
    <row r="232" spans="4:4" x14ac:dyDescent="0.3">
      <c r="D232" s="2"/>
    </row>
    <row r="233" spans="4:4" x14ac:dyDescent="0.3">
      <c r="D233" s="2"/>
    </row>
    <row r="234" spans="4:4" x14ac:dyDescent="0.3">
      <c r="D234" s="2"/>
    </row>
    <row r="235" spans="4:4" x14ac:dyDescent="0.3">
      <c r="D235" s="2"/>
    </row>
    <row r="236" spans="4:4" x14ac:dyDescent="0.3">
      <c r="D236" s="2"/>
    </row>
    <row r="237" spans="4:4" x14ac:dyDescent="0.3">
      <c r="D237" s="2"/>
    </row>
    <row r="238" spans="4:4" x14ac:dyDescent="0.3">
      <c r="D238" s="2"/>
    </row>
    <row r="239" spans="4:4" x14ac:dyDescent="0.3">
      <c r="D239" s="2"/>
    </row>
    <row r="240" spans="4:4" x14ac:dyDescent="0.3">
      <c r="D240" s="2"/>
    </row>
    <row r="241" spans="4:4" x14ac:dyDescent="0.3">
      <c r="D241" s="2"/>
    </row>
    <row r="242" spans="4:4" x14ac:dyDescent="0.3">
      <c r="D242" s="2"/>
    </row>
    <row r="243" spans="4:4" x14ac:dyDescent="0.3">
      <c r="D243" s="2"/>
    </row>
    <row r="244" spans="4:4" x14ac:dyDescent="0.3">
      <c r="D244" s="2"/>
    </row>
    <row r="245" spans="4:4" x14ac:dyDescent="0.3">
      <c r="D245" s="2"/>
    </row>
    <row r="246" spans="4:4" x14ac:dyDescent="0.3">
      <c r="D246" s="2"/>
    </row>
    <row r="247" spans="4:4" x14ac:dyDescent="0.3">
      <c r="D247" s="2"/>
    </row>
    <row r="248" spans="4:4" x14ac:dyDescent="0.3">
      <c r="D248" s="2"/>
    </row>
    <row r="249" spans="4:4" x14ac:dyDescent="0.3">
      <c r="D249" s="2"/>
    </row>
    <row r="250" spans="4:4" x14ac:dyDescent="0.3">
      <c r="D250" s="2"/>
    </row>
    <row r="251" spans="4:4" x14ac:dyDescent="0.3">
      <c r="D251" s="2"/>
    </row>
    <row r="252" spans="4:4" x14ac:dyDescent="0.3">
      <c r="D252" s="2"/>
    </row>
    <row r="253" spans="4:4" x14ac:dyDescent="0.3">
      <c r="D253" s="2"/>
    </row>
    <row r="254" spans="4:4" x14ac:dyDescent="0.3">
      <c r="D254" s="2"/>
    </row>
    <row r="255" spans="4:4" x14ac:dyDescent="0.3">
      <c r="D255" s="2"/>
    </row>
    <row r="256" spans="4:4" x14ac:dyDescent="0.3">
      <c r="D256" s="2"/>
    </row>
    <row r="257" spans="4:4" x14ac:dyDescent="0.3">
      <c r="D257" s="2"/>
    </row>
    <row r="258" spans="4:4" x14ac:dyDescent="0.3">
      <c r="D258" s="2"/>
    </row>
    <row r="259" spans="4:4" x14ac:dyDescent="0.3">
      <c r="D259" s="2"/>
    </row>
    <row r="260" spans="4:4" x14ac:dyDescent="0.3">
      <c r="D260" s="2"/>
    </row>
    <row r="261" spans="4:4" x14ac:dyDescent="0.3">
      <c r="D261" s="2"/>
    </row>
    <row r="262" spans="4:4" x14ac:dyDescent="0.3">
      <c r="D262" s="2"/>
    </row>
    <row r="263" spans="4:4" x14ac:dyDescent="0.3">
      <c r="D263" s="2"/>
    </row>
    <row r="264" spans="4:4" x14ac:dyDescent="0.3">
      <c r="D264" s="2"/>
    </row>
    <row r="265" spans="4:4" x14ac:dyDescent="0.3">
      <c r="D265" s="2"/>
    </row>
    <row r="266" spans="4:4" x14ac:dyDescent="0.3">
      <c r="D266" s="2"/>
    </row>
    <row r="267" spans="4:4" x14ac:dyDescent="0.3">
      <c r="D267" s="2"/>
    </row>
    <row r="268" spans="4:4" x14ac:dyDescent="0.3">
      <c r="D268" s="2"/>
    </row>
    <row r="269" spans="4:4" x14ac:dyDescent="0.3">
      <c r="D269" s="2"/>
    </row>
    <row r="270" spans="4:4" x14ac:dyDescent="0.3">
      <c r="D270" s="2"/>
    </row>
    <row r="271" spans="4:4" x14ac:dyDescent="0.3">
      <c r="D271" s="2"/>
    </row>
    <row r="272" spans="4:4" x14ac:dyDescent="0.3">
      <c r="D272" s="2"/>
    </row>
    <row r="273" spans="4:4" x14ac:dyDescent="0.3">
      <c r="D273" s="2"/>
    </row>
    <row r="274" spans="4:4" x14ac:dyDescent="0.3">
      <c r="D274" s="2"/>
    </row>
    <row r="275" spans="4:4" x14ac:dyDescent="0.3">
      <c r="D275" s="2"/>
    </row>
    <row r="276" spans="4:4" x14ac:dyDescent="0.3">
      <c r="D276" s="2"/>
    </row>
    <row r="277" spans="4:4" x14ac:dyDescent="0.3">
      <c r="D277" s="2"/>
    </row>
    <row r="278" spans="4:4" x14ac:dyDescent="0.3">
      <c r="D278" s="2"/>
    </row>
    <row r="279" spans="4:4" x14ac:dyDescent="0.3">
      <c r="D279" s="2"/>
    </row>
    <row r="280" spans="4:4" x14ac:dyDescent="0.3">
      <c r="D280" s="2"/>
    </row>
    <row r="281" spans="4:4" x14ac:dyDescent="0.3">
      <c r="D281" s="2"/>
    </row>
    <row r="282" spans="4:4" x14ac:dyDescent="0.3">
      <c r="D282" s="2"/>
    </row>
    <row r="283" spans="4:4" x14ac:dyDescent="0.3">
      <c r="D283" s="2"/>
    </row>
    <row r="284" spans="4:4" x14ac:dyDescent="0.3">
      <c r="D284" s="2"/>
    </row>
    <row r="285" spans="4:4" x14ac:dyDescent="0.3">
      <c r="D285" s="2"/>
    </row>
    <row r="286" spans="4:4" x14ac:dyDescent="0.3">
      <c r="D286" s="2"/>
    </row>
    <row r="287" spans="4:4" x14ac:dyDescent="0.3">
      <c r="D287" s="2"/>
    </row>
    <row r="288" spans="4:4" x14ac:dyDescent="0.3">
      <c r="D288" s="2"/>
    </row>
    <row r="289" spans="4:4" x14ac:dyDescent="0.3">
      <c r="D289" s="2"/>
    </row>
    <row r="290" spans="4:4" x14ac:dyDescent="0.3">
      <c r="D290" s="2"/>
    </row>
    <row r="291" spans="4:4" x14ac:dyDescent="0.3">
      <c r="D291" s="2"/>
    </row>
    <row r="292" spans="4:4" x14ac:dyDescent="0.3">
      <c r="D292" s="2"/>
    </row>
    <row r="293" spans="4:4" x14ac:dyDescent="0.3">
      <c r="D293" s="2"/>
    </row>
    <row r="294" spans="4:4" x14ac:dyDescent="0.3">
      <c r="D294" s="2"/>
    </row>
    <row r="295" spans="4:4" x14ac:dyDescent="0.3">
      <c r="D295" s="2"/>
    </row>
    <row r="296" spans="4:4" x14ac:dyDescent="0.3">
      <c r="D296" s="2"/>
    </row>
    <row r="297" spans="4:4" x14ac:dyDescent="0.3">
      <c r="D297" s="2"/>
    </row>
    <row r="298" spans="4:4" x14ac:dyDescent="0.3">
      <c r="D298" s="2"/>
    </row>
    <row r="299" spans="4:4" x14ac:dyDescent="0.3">
      <c r="D299" s="2"/>
    </row>
    <row r="300" spans="4:4" x14ac:dyDescent="0.3">
      <c r="D300" s="2"/>
    </row>
    <row r="301" spans="4:4" x14ac:dyDescent="0.3">
      <c r="D301" s="2"/>
    </row>
    <row r="302" spans="4:4" x14ac:dyDescent="0.3">
      <c r="D302" s="2"/>
    </row>
    <row r="303" spans="4:4" x14ac:dyDescent="0.3">
      <c r="D303" s="2"/>
    </row>
    <row r="304" spans="4:4" x14ac:dyDescent="0.3">
      <c r="D304" s="2"/>
    </row>
    <row r="305" spans="4:4" x14ac:dyDescent="0.3">
      <c r="D305" s="2"/>
    </row>
    <row r="306" spans="4:4" x14ac:dyDescent="0.3">
      <c r="D306" s="2"/>
    </row>
    <row r="307" spans="4:4" x14ac:dyDescent="0.3">
      <c r="D307" s="2"/>
    </row>
    <row r="308" spans="4:4" x14ac:dyDescent="0.3">
      <c r="D308" s="2"/>
    </row>
    <row r="309" spans="4:4" x14ac:dyDescent="0.3">
      <c r="D309" s="2"/>
    </row>
    <row r="310" spans="4:4" x14ac:dyDescent="0.3">
      <c r="D310" s="2"/>
    </row>
    <row r="311" spans="4:4" x14ac:dyDescent="0.3">
      <c r="D311" s="2"/>
    </row>
    <row r="312" spans="4:4" x14ac:dyDescent="0.3">
      <c r="D312" s="2"/>
    </row>
    <row r="313" spans="4:4" x14ac:dyDescent="0.3">
      <c r="D313" s="2"/>
    </row>
    <row r="314" spans="4:4" x14ac:dyDescent="0.3">
      <c r="D314" s="2"/>
    </row>
    <row r="315" spans="4:4" x14ac:dyDescent="0.3">
      <c r="D315" s="2"/>
    </row>
    <row r="316" spans="4:4" x14ac:dyDescent="0.3">
      <c r="D316" s="2"/>
    </row>
    <row r="317" spans="4:4" x14ac:dyDescent="0.3">
      <c r="D317" s="2"/>
    </row>
    <row r="318" spans="4:4" x14ac:dyDescent="0.3">
      <c r="D318" s="2"/>
    </row>
    <row r="319" spans="4:4" x14ac:dyDescent="0.3">
      <c r="D319" s="2"/>
    </row>
    <row r="320" spans="4:4" x14ac:dyDescent="0.3">
      <c r="D320" s="2"/>
    </row>
    <row r="321" spans="4:4" x14ac:dyDescent="0.3">
      <c r="D321" s="2"/>
    </row>
    <row r="322" spans="4:4" x14ac:dyDescent="0.3">
      <c r="D322" s="2"/>
    </row>
    <row r="323" spans="4:4" x14ac:dyDescent="0.3">
      <c r="D323" s="2"/>
    </row>
    <row r="324" spans="4:4" x14ac:dyDescent="0.3">
      <c r="D324" s="2"/>
    </row>
    <row r="325" spans="4:4" x14ac:dyDescent="0.3">
      <c r="D325" s="2"/>
    </row>
    <row r="326" spans="4:4" x14ac:dyDescent="0.3">
      <c r="D326" s="2"/>
    </row>
    <row r="327" spans="4:4" x14ac:dyDescent="0.3">
      <c r="D327" s="2"/>
    </row>
    <row r="328" spans="4:4" x14ac:dyDescent="0.3">
      <c r="D328" s="2"/>
    </row>
    <row r="329" spans="4:4" x14ac:dyDescent="0.3">
      <c r="D329" s="2"/>
    </row>
    <row r="330" spans="4:4" x14ac:dyDescent="0.3">
      <c r="D330" s="2"/>
    </row>
    <row r="331" spans="4:4" x14ac:dyDescent="0.3">
      <c r="D331" s="2"/>
    </row>
    <row r="332" spans="4:4" x14ac:dyDescent="0.3">
      <c r="D332" s="2"/>
    </row>
    <row r="333" spans="4:4" x14ac:dyDescent="0.3">
      <c r="D333" s="2"/>
    </row>
    <row r="334" spans="4:4" x14ac:dyDescent="0.3">
      <c r="D334" s="2"/>
    </row>
    <row r="335" spans="4:4" x14ac:dyDescent="0.3">
      <c r="D335" s="2"/>
    </row>
    <row r="336" spans="4:4" x14ac:dyDescent="0.3">
      <c r="D336" s="2"/>
    </row>
    <row r="337" spans="4:4" x14ac:dyDescent="0.3">
      <c r="D337" s="2"/>
    </row>
    <row r="338" spans="4:4" x14ac:dyDescent="0.3">
      <c r="D338" s="2"/>
    </row>
    <row r="339" spans="4:4" x14ac:dyDescent="0.3">
      <c r="D339" s="2"/>
    </row>
    <row r="340" spans="4:4" x14ac:dyDescent="0.3">
      <c r="D340" s="2"/>
    </row>
    <row r="341" spans="4:4" x14ac:dyDescent="0.3">
      <c r="D341" s="2"/>
    </row>
    <row r="342" spans="4:4" x14ac:dyDescent="0.3">
      <c r="D342" s="2"/>
    </row>
    <row r="343" spans="4:4" x14ac:dyDescent="0.3">
      <c r="D343" s="2"/>
    </row>
    <row r="344" spans="4:4" x14ac:dyDescent="0.3">
      <c r="D344" s="2"/>
    </row>
    <row r="345" spans="4:4" x14ac:dyDescent="0.3">
      <c r="D345" s="2"/>
    </row>
    <row r="346" spans="4:4" x14ac:dyDescent="0.3">
      <c r="D346" s="2"/>
    </row>
    <row r="347" spans="4:4" x14ac:dyDescent="0.3">
      <c r="D347" s="2"/>
    </row>
    <row r="348" spans="4:4" x14ac:dyDescent="0.3">
      <c r="D348" s="2"/>
    </row>
    <row r="349" spans="4:4" x14ac:dyDescent="0.3">
      <c r="D349" s="2"/>
    </row>
    <row r="350" spans="4:4" x14ac:dyDescent="0.3">
      <c r="D350" s="2"/>
    </row>
    <row r="351" spans="4:4" x14ac:dyDescent="0.3">
      <c r="D351" s="2"/>
    </row>
    <row r="352" spans="4:4" x14ac:dyDescent="0.3">
      <c r="D352" s="2"/>
    </row>
    <row r="353" spans="4:4" x14ac:dyDescent="0.3">
      <c r="D353" s="2"/>
    </row>
    <row r="354" spans="4:4" x14ac:dyDescent="0.3">
      <c r="D354" s="2"/>
    </row>
    <row r="355" spans="4:4" x14ac:dyDescent="0.3">
      <c r="D355" s="2"/>
    </row>
    <row r="356" spans="4:4" x14ac:dyDescent="0.3">
      <c r="D356" s="2"/>
    </row>
    <row r="357" spans="4:4" x14ac:dyDescent="0.3">
      <c r="D357" s="2"/>
    </row>
    <row r="358" spans="4:4" x14ac:dyDescent="0.3">
      <c r="D358" s="2"/>
    </row>
    <row r="359" spans="4:4" x14ac:dyDescent="0.3">
      <c r="D359" s="2"/>
    </row>
    <row r="360" spans="4:4" x14ac:dyDescent="0.3">
      <c r="D360" s="2"/>
    </row>
    <row r="361" spans="4:4" x14ac:dyDescent="0.3">
      <c r="D361" s="2"/>
    </row>
    <row r="362" spans="4:4" x14ac:dyDescent="0.3">
      <c r="D362" s="2"/>
    </row>
    <row r="363" spans="4:4" x14ac:dyDescent="0.3">
      <c r="D363" s="2"/>
    </row>
    <row r="364" spans="4:4" x14ac:dyDescent="0.3">
      <c r="D364" s="2"/>
    </row>
    <row r="365" spans="4:4" x14ac:dyDescent="0.3">
      <c r="D365" s="2"/>
    </row>
    <row r="366" spans="4:4" x14ac:dyDescent="0.3">
      <c r="D366" s="2"/>
    </row>
    <row r="367" spans="4:4" x14ac:dyDescent="0.3">
      <c r="D367" s="2"/>
    </row>
    <row r="368" spans="4:4" x14ac:dyDescent="0.3">
      <c r="D368" s="2"/>
    </row>
    <row r="369" spans="4:4" x14ac:dyDescent="0.3">
      <c r="D369" s="2"/>
    </row>
    <row r="370" spans="4:4" x14ac:dyDescent="0.3">
      <c r="D370" s="2"/>
    </row>
    <row r="371" spans="4:4" x14ac:dyDescent="0.3">
      <c r="D371" s="2"/>
    </row>
    <row r="372" spans="4:4" x14ac:dyDescent="0.3">
      <c r="D372" s="2"/>
    </row>
    <row r="373" spans="4:4" x14ac:dyDescent="0.3">
      <c r="D373" s="2"/>
    </row>
    <row r="374" spans="4:4" x14ac:dyDescent="0.3">
      <c r="D374" s="2"/>
    </row>
    <row r="375" spans="4:4" x14ac:dyDescent="0.3">
      <c r="D375" s="2"/>
    </row>
    <row r="376" spans="4:4" x14ac:dyDescent="0.3">
      <c r="D376" s="2"/>
    </row>
    <row r="377" spans="4:4" x14ac:dyDescent="0.3">
      <c r="D377" s="2"/>
    </row>
    <row r="378" spans="4:4" x14ac:dyDescent="0.3">
      <c r="D378" s="2"/>
    </row>
    <row r="379" spans="4:4" x14ac:dyDescent="0.3">
      <c r="D379" s="2"/>
    </row>
    <row r="380" spans="4:4" x14ac:dyDescent="0.3">
      <c r="D380" s="2"/>
    </row>
    <row r="381" spans="4:4" x14ac:dyDescent="0.3">
      <c r="D381" s="2"/>
    </row>
    <row r="382" spans="4:4" x14ac:dyDescent="0.3">
      <c r="D382" s="2"/>
    </row>
    <row r="383" spans="4:4" x14ac:dyDescent="0.3">
      <c r="D383" s="2"/>
    </row>
    <row r="384" spans="4:4" x14ac:dyDescent="0.3">
      <c r="D384" s="2"/>
    </row>
    <row r="385" spans="4:4" x14ac:dyDescent="0.3">
      <c r="D385" s="2"/>
    </row>
    <row r="386" spans="4:4" x14ac:dyDescent="0.3">
      <c r="D386" s="2"/>
    </row>
    <row r="387" spans="4:4" x14ac:dyDescent="0.3">
      <c r="D387" s="2"/>
    </row>
    <row r="388" spans="4:4" x14ac:dyDescent="0.3">
      <c r="D388" s="2"/>
    </row>
    <row r="389" spans="4:4" x14ac:dyDescent="0.3">
      <c r="D389" s="2"/>
    </row>
    <row r="390" spans="4:4" x14ac:dyDescent="0.3">
      <c r="D390" s="2"/>
    </row>
    <row r="391" spans="4:4" x14ac:dyDescent="0.3">
      <c r="D391" s="2"/>
    </row>
    <row r="392" spans="4:4" x14ac:dyDescent="0.3">
      <c r="D392" s="2"/>
    </row>
    <row r="393" spans="4:4" x14ac:dyDescent="0.3">
      <c r="D393" s="2"/>
    </row>
    <row r="394" spans="4:4" x14ac:dyDescent="0.3">
      <c r="D394" s="2"/>
    </row>
    <row r="395" spans="4:4" x14ac:dyDescent="0.3">
      <c r="D395" s="2"/>
    </row>
    <row r="396" spans="4:4" x14ac:dyDescent="0.3">
      <c r="D396" s="2"/>
    </row>
    <row r="397" spans="4:4" x14ac:dyDescent="0.3">
      <c r="D397" s="2"/>
    </row>
    <row r="398" spans="4:4" x14ac:dyDescent="0.3">
      <c r="D398" s="2"/>
    </row>
    <row r="399" spans="4:4" x14ac:dyDescent="0.3">
      <c r="D399" s="2"/>
    </row>
    <row r="400" spans="4:4" x14ac:dyDescent="0.3">
      <c r="D400" s="2"/>
    </row>
    <row r="401" spans="4:4" x14ac:dyDescent="0.3">
      <c r="D401" s="2"/>
    </row>
    <row r="402" spans="4:4" x14ac:dyDescent="0.3">
      <c r="D402" s="2"/>
    </row>
    <row r="403" spans="4:4" x14ac:dyDescent="0.3">
      <c r="D403" s="2"/>
    </row>
    <row r="404" spans="4:4" x14ac:dyDescent="0.3">
      <c r="D404" s="2"/>
    </row>
    <row r="405" spans="4:4" x14ac:dyDescent="0.3">
      <c r="D405" s="2"/>
    </row>
    <row r="406" spans="4:4" x14ac:dyDescent="0.3">
      <c r="D406" s="2"/>
    </row>
    <row r="407" spans="4:4" x14ac:dyDescent="0.3">
      <c r="D407" s="2"/>
    </row>
    <row r="408" spans="4:4" x14ac:dyDescent="0.3">
      <c r="D408" s="2"/>
    </row>
    <row r="409" spans="4:4" x14ac:dyDescent="0.3">
      <c r="D409" s="2"/>
    </row>
    <row r="410" spans="4:4" x14ac:dyDescent="0.3">
      <c r="D410" s="2"/>
    </row>
    <row r="411" spans="4:4" x14ac:dyDescent="0.3">
      <c r="D411" s="2"/>
    </row>
    <row r="412" spans="4:4" x14ac:dyDescent="0.3">
      <c r="D412" s="2"/>
    </row>
    <row r="413" spans="4:4" x14ac:dyDescent="0.3">
      <c r="D413" s="2"/>
    </row>
    <row r="414" spans="4:4" x14ac:dyDescent="0.3">
      <c r="D414" s="2"/>
    </row>
    <row r="415" spans="4:4" x14ac:dyDescent="0.3">
      <c r="D415" s="2"/>
    </row>
    <row r="416" spans="4:4" x14ac:dyDescent="0.3">
      <c r="D416" s="2"/>
    </row>
    <row r="417" spans="4:4" x14ac:dyDescent="0.3">
      <c r="D417" s="2"/>
    </row>
    <row r="418" spans="4:4" x14ac:dyDescent="0.3">
      <c r="D418" s="2"/>
    </row>
    <row r="419" spans="4:4" x14ac:dyDescent="0.3">
      <c r="D419" s="2"/>
    </row>
    <row r="420" spans="4:4" x14ac:dyDescent="0.3">
      <c r="D420" s="2"/>
    </row>
    <row r="421" spans="4:4" x14ac:dyDescent="0.3">
      <c r="D421" s="2"/>
    </row>
    <row r="422" spans="4:4" x14ac:dyDescent="0.3">
      <c r="D422" s="2"/>
    </row>
    <row r="423" spans="4:4" x14ac:dyDescent="0.3">
      <c r="D423" s="2"/>
    </row>
    <row r="424" spans="4:4" x14ac:dyDescent="0.3">
      <c r="D424" s="2"/>
    </row>
    <row r="425" spans="4:4" x14ac:dyDescent="0.3">
      <c r="D425" s="2"/>
    </row>
    <row r="426" spans="4:4" x14ac:dyDescent="0.3">
      <c r="D426" s="2"/>
    </row>
    <row r="427" spans="4:4" x14ac:dyDescent="0.3">
      <c r="D427" s="2"/>
    </row>
    <row r="428" spans="4:4" x14ac:dyDescent="0.3">
      <c r="D428" s="2"/>
    </row>
    <row r="429" spans="4:4" x14ac:dyDescent="0.3">
      <c r="D429" s="2"/>
    </row>
    <row r="430" spans="4:4" x14ac:dyDescent="0.3">
      <c r="D430" s="2"/>
    </row>
    <row r="431" spans="4:4" x14ac:dyDescent="0.3">
      <c r="D431" s="2"/>
    </row>
    <row r="432" spans="4:4" x14ac:dyDescent="0.3">
      <c r="D432" s="2"/>
    </row>
    <row r="433" spans="4:4" x14ac:dyDescent="0.3">
      <c r="D433" s="2"/>
    </row>
    <row r="434" spans="4:4" x14ac:dyDescent="0.3">
      <c r="D434" s="2"/>
    </row>
    <row r="435" spans="4:4" x14ac:dyDescent="0.3">
      <c r="D435" s="2"/>
    </row>
    <row r="436" spans="4:4" x14ac:dyDescent="0.3">
      <c r="D436" s="2"/>
    </row>
    <row r="437" spans="4:4" x14ac:dyDescent="0.3">
      <c r="D437" s="2"/>
    </row>
    <row r="438" spans="4:4" x14ac:dyDescent="0.3">
      <c r="D438" s="2"/>
    </row>
    <row r="439" spans="4:4" x14ac:dyDescent="0.3">
      <c r="D439" s="2"/>
    </row>
    <row r="440" spans="4:4" x14ac:dyDescent="0.3">
      <c r="D440" s="2"/>
    </row>
    <row r="441" spans="4:4" x14ac:dyDescent="0.3">
      <c r="D441" s="2"/>
    </row>
    <row r="442" spans="4:4" x14ac:dyDescent="0.3">
      <c r="D442" s="2"/>
    </row>
    <row r="443" spans="4:4" x14ac:dyDescent="0.3">
      <c r="D443" s="2"/>
    </row>
    <row r="444" spans="4:4" x14ac:dyDescent="0.3">
      <c r="D444" s="2"/>
    </row>
    <row r="445" spans="4:4" x14ac:dyDescent="0.3">
      <c r="D445" s="2"/>
    </row>
    <row r="446" spans="4:4" x14ac:dyDescent="0.3">
      <c r="D446" s="2"/>
    </row>
    <row r="447" spans="4:4" x14ac:dyDescent="0.3">
      <c r="D447" s="2"/>
    </row>
    <row r="448" spans="4:4" x14ac:dyDescent="0.3">
      <c r="D448" s="2"/>
    </row>
    <row r="449" spans="4:4" x14ac:dyDescent="0.3">
      <c r="D449" s="2"/>
    </row>
    <row r="450" spans="4:4" x14ac:dyDescent="0.3">
      <c r="D450" s="2"/>
    </row>
    <row r="451" spans="4:4" x14ac:dyDescent="0.3">
      <c r="D451" s="2"/>
    </row>
    <row r="452" spans="4:4" x14ac:dyDescent="0.3">
      <c r="D452" s="2"/>
    </row>
    <row r="453" spans="4:4" x14ac:dyDescent="0.3">
      <c r="D453" s="2"/>
    </row>
    <row r="454" spans="4:4" x14ac:dyDescent="0.3">
      <c r="D454" s="2"/>
    </row>
    <row r="455" spans="4:4" x14ac:dyDescent="0.3">
      <c r="D455" s="2"/>
    </row>
    <row r="456" spans="4:4" x14ac:dyDescent="0.3">
      <c r="D456" s="2"/>
    </row>
    <row r="457" spans="4:4" x14ac:dyDescent="0.3">
      <c r="D457" s="2"/>
    </row>
    <row r="458" spans="4:4" x14ac:dyDescent="0.3">
      <c r="D458" s="2"/>
    </row>
    <row r="459" spans="4:4" x14ac:dyDescent="0.3">
      <c r="D459" s="2"/>
    </row>
    <row r="460" spans="4:4" x14ac:dyDescent="0.3">
      <c r="D460" s="2"/>
    </row>
    <row r="461" spans="4:4" x14ac:dyDescent="0.3">
      <c r="D461" s="2"/>
    </row>
    <row r="462" spans="4:4" x14ac:dyDescent="0.3">
      <c r="D462" s="2"/>
    </row>
    <row r="463" spans="4:4" x14ac:dyDescent="0.3">
      <c r="D463" s="2"/>
    </row>
    <row r="464" spans="4:4" x14ac:dyDescent="0.3">
      <c r="D464" s="2"/>
    </row>
    <row r="465" spans="4:4" x14ac:dyDescent="0.3">
      <c r="D465" s="2"/>
    </row>
    <row r="466" spans="4:4" x14ac:dyDescent="0.3">
      <c r="D466" s="2"/>
    </row>
    <row r="467" spans="4:4" x14ac:dyDescent="0.3">
      <c r="D467" s="2"/>
    </row>
    <row r="468" spans="4:4" x14ac:dyDescent="0.3">
      <c r="D468" s="2"/>
    </row>
    <row r="469" spans="4:4" x14ac:dyDescent="0.3">
      <c r="D469" s="2"/>
    </row>
    <row r="470" spans="4:4" x14ac:dyDescent="0.3">
      <c r="D470" s="2"/>
    </row>
    <row r="471" spans="4:4" x14ac:dyDescent="0.3">
      <c r="D471" s="2"/>
    </row>
    <row r="472" spans="4:4" x14ac:dyDescent="0.3">
      <c r="D472" s="2"/>
    </row>
    <row r="473" spans="4:4" x14ac:dyDescent="0.3">
      <c r="D473" s="2"/>
    </row>
    <row r="474" spans="4:4" x14ac:dyDescent="0.3">
      <c r="D474" s="2"/>
    </row>
    <row r="475" spans="4:4" x14ac:dyDescent="0.3">
      <c r="D475" s="2"/>
    </row>
    <row r="476" spans="4:4" x14ac:dyDescent="0.3">
      <c r="D476" s="2"/>
    </row>
    <row r="477" spans="4:4" x14ac:dyDescent="0.3">
      <c r="D477" s="2"/>
    </row>
    <row r="478" spans="4:4" x14ac:dyDescent="0.3">
      <c r="D478" s="2"/>
    </row>
    <row r="479" spans="4:4" x14ac:dyDescent="0.3">
      <c r="D479" s="2"/>
    </row>
    <row r="480" spans="4:4" x14ac:dyDescent="0.3">
      <c r="D480" s="2"/>
    </row>
    <row r="481" spans="4:4" x14ac:dyDescent="0.3">
      <c r="D481" s="2"/>
    </row>
    <row r="482" spans="4:4" x14ac:dyDescent="0.3">
      <c r="D482" s="2"/>
    </row>
    <row r="483" spans="4:4" x14ac:dyDescent="0.3">
      <c r="D483" s="2"/>
    </row>
    <row r="484" spans="4:4" x14ac:dyDescent="0.3">
      <c r="D484" s="2"/>
    </row>
    <row r="485" spans="4:4" x14ac:dyDescent="0.3">
      <c r="D485" s="2"/>
    </row>
    <row r="486" spans="4:4" x14ac:dyDescent="0.3">
      <c r="D486" s="2"/>
    </row>
    <row r="487" spans="4:4" x14ac:dyDescent="0.3">
      <c r="D487" s="2"/>
    </row>
    <row r="488" spans="4:4" x14ac:dyDescent="0.3">
      <c r="D488" s="2"/>
    </row>
    <row r="489" spans="4:4" x14ac:dyDescent="0.3">
      <c r="D489" s="2"/>
    </row>
    <row r="490" spans="4:4" x14ac:dyDescent="0.3">
      <c r="D490" s="2"/>
    </row>
    <row r="491" spans="4:4" x14ac:dyDescent="0.3">
      <c r="D491" s="2"/>
    </row>
    <row r="492" spans="4:4" x14ac:dyDescent="0.3">
      <c r="D492" s="2"/>
    </row>
    <row r="493" spans="4:4" x14ac:dyDescent="0.3">
      <c r="D493" s="2"/>
    </row>
    <row r="494" spans="4:4" x14ac:dyDescent="0.3">
      <c r="D494" s="2"/>
    </row>
    <row r="495" spans="4:4" x14ac:dyDescent="0.3">
      <c r="D495" s="2"/>
    </row>
    <row r="496" spans="4:4" x14ac:dyDescent="0.3">
      <c r="D496" s="2"/>
    </row>
    <row r="497" spans="4:4" x14ac:dyDescent="0.3">
      <c r="D497" s="2"/>
    </row>
    <row r="498" spans="4:4" x14ac:dyDescent="0.3">
      <c r="D498" s="2"/>
    </row>
    <row r="499" spans="4:4" x14ac:dyDescent="0.3">
      <c r="D499" s="2"/>
    </row>
    <row r="500" spans="4:4" x14ac:dyDescent="0.3">
      <c r="D500" s="2"/>
    </row>
    <row r="501" spans="4:4" x14ac:dyDescent="0.3">
      <c r="D501" s="2"/>
    </row>
    <row r="502" spans="4:4" x14ac:dyDescent="0.3">
      <c r="D502" s="2"/>
    </row>
    <row r="503" spans="4:4" x14ac:dyDescent="0.3">
      <c r="D503" s="2"/>
    </row>
    <row r="504" spans="4:4" x14ac:dyDescent="0.3">
      <c r="D504" s="2"/>
    </row>
    <row r="505" spans="4:4" x14ac:dyDescent="0.3">
      <c r="D505" s="2"/>
    </row>
    <row r="506" spans="4:4" x14ac:dyDescent="0.3">
      <c r="D506" s="2"/>
    </row>
    <row r="507" spans="4:4" x14ac:dyDescent="0.3">
      <c r="D507" s="2"/>
    </row>
    <row r="508" spans="4:4" x14ac:dyDescent="0.3">
      <c r="D508" s="2"/>
    </row>
    <row r="509" spans="4:4" x14ac:dyDescent="0.3">
      <c r="D509" s="2"/>
    </row>
    <row r="510" spans="4:4" x14ac:dyDescent="0.3">
      <c r="D510" s="2"/>
    </row>
    <row r="511" spans="4:4" x14ac:dyDescent="0.3">
      <c r="D511" s="2"/>
    </row>
    <row r="512" spans="4:4" x14ac:dyDescent="0.3">
      <c r="D512" s="2"/>
    </row>
    <row r="513" spans="4:4" x14ac:dyDescent="0.3">
      <c r="D513" s="2"/>
    </row>
    <row r="514" spans="4:4" x14ac:dyDescent="0.3">
      <c r="D514" s="2"/>
    </row>
    <row r="515" spans="4:4" x14ac:dyDescent="0.3">
      <c r="D515" s="2"/>
    </row>
    <row r="516" spans="4:4" x14ac:dyDescent="0.3">
      <c r="D516" s="2"/>
    </row>
    <row r="517" spans="4:4" x14ac:dyDescent="0.3">
      <c r="D517" s="2"/>
    </row>
    <row r="518" spans="4:4" x14ac:dyDescent="0.3">
      <c r="D518" s="2"/>
    </row>
    <row r="519" spans="4:4" x14ac:dyDescent="0.3">
      <c r="D519" s="2"/>
    </row>
    <row r="520" spans="4:4" x14ac:dyDescent="0.3">
      <c r="D520" s="2"/>
    </row>
    <row r="521" spans="4:4" x14ac:dyDescent="0.3">
      <c r="D521" s="2"/>
    </row>
    <row r="522" spans="4:4" x14ac:dyDescent="0.3">
      <c r="D522" s="2"/>
    </row>
    <row r="523" spans="4:4" x14ac:dyDescent="0.3">
      <c r="D523" s="2"/>
    </row>
    <row r="524" spans="4:4" x14ac:dyDescent="0.3">
      <c r="D524" s="2"/>
    </row>
    <row r="525" spans="4:4" x14ac:dyDescent="0.3">
      <c r="D525" s="2"/>
    </row>
    <row r="526" spans="4:4" x14ac:dyDescent="0.3">
      <c r="D526" s="2"/>
    </row>
    <row r="527" spans="4:4" x14ac:dyDescent="0.3">
      <c r="D527" s="2"/>
    </row>
    <row r="528" spans="4:4" x14ac:dyDescent="0.3">
      <c r="D528" s="2"/>
    </row>
    <row r="529" spans="4:4" x14ac:dyDescent="0.3">
      <c r="D529" s="2"/>
    </row>
    <row r="530" spans="4:4" x14ac:dyDescent="0.3">
      <c r="D530" s="2"/>
    </row>
    <row r="531" spans="4:4" x14ac:dyDescent="0.3">
      <c r="D531" s="2"/>
    </row>
    <row r="532" spans="4:4" x14ac:dyDescent="0.3">
      <c r="D532" s="2"/>
    </row>
    <row r="533" spans="4:4" x14ac:dyDescent="0.3">
      <c r="D533" s="2"/>
    </row>
    <row r="534" spans="4:4" x14ac:dyDescent="0.3">
      <c r="D534" s="2"/>
    </row>
    <row r="535" spans="4:4" x14ac:dyDescent="0.3">
      <c r="D535" s="2"/>
    </row>
    <row r="536" spans="4:4" x14ac:dyDescent="0.3">
      <c r="D536" s="2"/>
    </row>
    <row r="537" spans="4:4" x14ac:dyDescent="0.3">
      <c r="D537" s="2"/>
    </row>
    <row r="538" spans="4:4" x14ac:dyDescent="0.3">
      <c r="D538" s="2"/>
    </row>
    <row r="539" spans="4:4" x14ac:dyDescent="0.3">
      <c r="D539" s="2"/>
    </row>
    <row r="540" spans="4:4" x14ac:dyDescent="0.3">
      <c r="D540" s="2"/>
    </row>
    <row r="541" spans="4:4" x14ac:dyDescent="0.3">
      <c r="D541" s="2"/>
    </row>
    <row r="542" spans="4:4" x14ac:dyDescent="0.3">
      <c r="D542" s="2"/>
    </row>
    <row r="543" spans="4:4" x14ac:dyDescent="0.3">
      <c r="D543" s="2"/>
    </row>
    <row r="544" spans="4:4" x14ac:dyDescent="0.3">
      <c r="D544" s="2"/>
    </row>
    <row r="545" spans="4:4" x14ac:dyDescent="0.3">
      <c r="D545" s="2"/>
    </row>
    <row r="546" spans="4:4" x14ac:dyDescent="0.3">
      <c r="D546" s="2"/>
    </row>
    <row r="547" spans="4:4" x14ac:dyDescent="0.3">
      <c r="D547" s="2"/>
    </row>
    <row r="548" spans="4:4" x14ac:dyDescent="0.3">
      <c r="D548" s="2"/>
    </row>
    <row r="549" spans="4:4" x14ac:dyDescent="0.3">
      <c r="D549" s="2"/>
    </row>
    <row r="550" spans="4:4" x14ac:dyDescent="0.3">
      <c r="D550" s="2"/>
    </row>
    <row r="551" spans="4:4" x14ac:dyDescent="0.3">
      <c r="D551" s="2"/>
    </row>
    <row r="552" spans="4:4" x14ac:dyDescent="0.3">
      <c r="D552" s="2"/>
    </row>
    <row r="553" spans="4:4" x14ac:dyDescent="0.3">
      <c r="D553" s="2"/>
    </row>
    <row r="554" spans="4:4" x14ac:dyDescent="0.3">
      <c r="D554" s="2"/>
    </row>
    <row r="555" spans="4:4" x14ac:dyDescent="0.3">
      <c r="D555" s="2"/>
    </row>
    <row r="556" spans="4:4" x14ac:dyDescent="0.3">
      <c r="D556" s="2"/>
    </row>
    <row r="557" spans="4:4" x14ac:dyDescent="0.3">
      <c r="D557" s="2"/>
    </row>
    <row r="558" spans="4:4" x14ac:dyDescent="0.3">
      <c r="D558" s="2"/>
    </row>
    <row r="559" spans="4:4" x14ac:dyDescent="0.3">
      <c r="D559" s="2"/>
    </row>
    <row r="560" spans="4:4" x14ac:dyDescent="0.3">
      <c r="D560" s="2"/>
    </row>
    <row r="561" spans="4:4" x14ac:dyDescent="0.3">
      <c r="D561" s="2"/>
    </row>
    <row r="562" spans="4:4" x14ac:dyDescent="0.3">
      <c r="D562" s="2"/>
    </row>
    <row r="563" spans="4:4" x14ac:dyDescent="0.3">
      <c r="D563" s="2"/>
    </row>
    <row r="564" spans="4:4" x14ac:dyDescent="0.3">
      <c r="D564" s="2"/>
    </row>
    <row r="565" spans="4:4" x14ac:dyDescent="0.3">
      <c r="D565" s="2"/>
    </row>
    <row r="566" spans="4:4" x14ac:dyDescent="0.3">
      <c r="D566" s="2"/>
    </row>
    <row r="567" spans="4:4" x14ac:dyDescent="0.3">
      <c r="D567" s="2"/>
    </row>
    <row r="568" spans="4:4" x14ac:dyDescent="0.3">
      <c r="D568" s="2"/>
    </row>
    <row r="569" spans="4:4" x14ac:dyDescent="0.3">
      <c r="D569" s="2"/>
    </row>
    <row r="570" spans="4:4" x14ac:dyDescent="0.3">
      <c r="D570" s="2"/>
    </row>
    <row r="571" spans="4:4" x14ac:dyDescent="0.3">
      <c r="D571" s="2"/>
    </row>
    <row r="572" spans="4:4" x14ac:dyDescent="0.3">
      <c r="D572" s="2"/>
    </row>
    <row r="573" spans="4:4" x14ac:dyDescent="0.3">
      <c r="D573" s="2"/>
    </row>
    <row r="574" spans="4:4" x14ac:dyDescent="0.3">
      <c r="D574" s="2"/>
    </row>
    <row r="575" spans="4:4" x14ac:dyDescent="0.3">
      <c r="D575" s="2"/>
    </row>
    <row r="576" spans="4:4" x14ac:dyDescent="0.3">
      <c r="D576" s="2"/>
    </row>
    <row r="577" spans="4:4" x14ac:dyDescent="0.3">
      <c r="D577" s="2"/>
    </row>
    <row r="578" spans="4:4" x14ac:dyDescent="0.3">
      <c r="D578" s="2"/>
    </row>
    <row r="579" spans="4:4" x14ac:dyDescent="0.3">
      <c r="D579" s="2"/>
    </row>
    <row r="580" spans="4:4" x14ac:dyDescent="0.3">
      <c r="D580" s="2"/>
    </row>
    <row r="581" spans="4:4" x14ac:dyDescent="0.3">
      <c r="D581" s="2"/>
    </row>
    <row r="582" spans="4:4" x14ac:dyDescent="0.3">
      <c r="D582" s="2"/>
    </row>
    <row r="583" spans="4:4" x14ac:dyDescent="0.3">
      <c r="D583" s="2"/>
    </row>
    <row r="584" spans="4:4" x14ac:dyDescent="0.3">
      <c r="D584" s="2"/>
    </row>
    <row r="585" spans="4:4" x14ac:dyDescent="0.3">
      <c r="D585" s="2"/>
    </row>
    <row r="586" spans="4:4" x14ac:dyDescent="0.3">
      <c r="D586" s="2"/>
    </row>
    <row r="587" spans="4:4" x14ac:dyDescent="0.3">
      <c r="D587" s="2"/>
    </row>
    <row r="588" spans="4:4" x14ac:dyDescent="0.3">
      <c r="D588" s="2"/>
    </row>
    <row r="589" spans="4:4" x14ac:dyDescent="0.3">
      <c r="D589" s="2"/>
    </row>
    <row r="590" spans="4:4" x14ac:dyDescent="0.3">
      <c r="D590" s="2"/>
    </row>
    <row r="591" spans="4:4" x14ac:dyDescent="0.3">
      <c r="D591" s="2"/>
    </row>
    <row r="592" spans="4:4" x14ac:dyDescent="0.3">
      <c r="D592" s="2"/>
    </row>
    <row r="593" spans="4:4" x14ac:dyDescent="0.3">
      <c r="D593" s="2"/>
    </row>
    <row r="594" spans="4:4" x14ac:dyDescent="0.3">
      <c r="D594" s="2"/>
    </row>
    <row r="595" spans="4:4" x14ac:dyDescent="0.3">
      <c r="D595" s="2"/>
    </row>
    <row r="596" spans="4:4" x14ac:dyDescent="0.3">
      <c r="D596" s="2"/>
    </row>
    <row r="597" spans="4:4" x14ac:dyDescent="0.3">
      <c r="D597" s="2"/>
    </row>
    <row r="598" spans="4:4" x14ac:dyDescent="0.3">
      <c r="D598" s="2"/>
    </row>
    <row r="599" spans="4:4" x14ac:dyDescent="0.3">
      <c r="D599" s="2"/>
    </row>
    <row r="600" spans="4:4" x14ac:dyDescent="0.3">
      <c r="D600" s="2"/>
    </row>
    <row r="601" spans="4:4" x14ac:dyDescent="0.3">
      <c r="D601" s="2"/>
    </row>
    <row r="602" spans="4:4" x14ac:dyDescent="0.3">
      <c r="D602" s="2"/>
    </row>
    <row r="603" spans="4:4" x14ac:dyDescent="0.3">
      <c r="D603" s="2"/>
    </row>
    <row r="604" spans="4:4" x14ac:dyDescent="0.3">
      <c r="D604" s="2"/>
    </row>
    <row r="605" spans="4:4" x14ac:dyDescent="0.3">
      <c r="D605" s="2"/>
    </row>
    <row r="606" spans="4:4" x14ac:dyDescent="0.3">
      <c r="D606" s="2"/>
    </row>
    <row r="607" spans="4:4" x14ac:dyDescent="0.3">
      <c r="D607" s="2"/>
    </row>
    <row r="608" spans="4:4" x14ac:dyDescent="0.3">
      <c r="D608" s="2"/>
    </row>
    <row r="609" spans="4:4" x14ac:dyDescent="0.3">
      <c r="D609" s="2"/>
    </row>
    <row r="610" spans="4:4" x14ac:dyDescent="0.3">
      <c r="D610" s="2"/>
    </row>
    <row r="611" spans="4:4" x14ac:dyDescent="0.3">
      <c r="D611" s="2"/>
    </row>
    <row r="612" spans="4:4" x14ac:dyDescent="0.3">
      <c r="D612" s="2"/>
    </row>
    <row r="613" spans="4:4" x14ac:dyDescent="0.3">
      <c r="D613" s="2"/>
    </row>
    <row r="614" spans="4:4" x14ac:dyDescent="0.3">
      <c r="D614" s="2"/>
    </row>
    <row r="615" spans="4:4" x14ac:dyDescent="0.3">
      <c r="D615" s="2"/>
    </row>
    <row r="616" spans="4:4" x14ac:dyDescent="0.3">
      <c r="D616" s="2"/>
    </row>
    <row r="617" spans="4:4" x14ac:dyDescent="0.3">
      <c r="D617" s="2"/>
    </row>
    <row r="618" spans="4:4" x14ac:dyDescent="0.3">
      <c r="D618" s="2"/>
    </row>
    <row r="619" spans="4:4" x14ac:dyDescent="0.3">
      <c r="D619" s="2"/>
    </row>
    <row r="620" spans="4:4" x14ac:dyDescent="0.3">
      <c r="D620" s="2"/>
    </row>
    <row r="621" spans="4:4" x14ac:dyDescent="0.3">
      <c r="D621" s="2"/>
    </row>
    <row r="622" spans="4:4" x14ac:dyDescent="0.3">
      <c r="D622" s="2"/>
    </row>
    <row r="645" spans="4:4" x14ac:dyDescent="0.3">
      <c r="D645" s="2"/>
    </row>
    <row r="646" spans="4:4" x14ac:dyDescent="0.3">
      <c r="D646" s="2"/>
    </row>
    <row r="647" spans="4:4" x14ac:dyDescent="0.3">
      <c r="D647" s="2"/>
    </row>
    <row r="648" spans="4:4" x14ac:dyDescent="0.3">
      <c r="D648" s="2"/>
    </row>
    <row r="649" spans="4:4" x14ac:dyDescent="0.3">
      <c r="D649" s="2"/>
    </row>
    <row r="650" spans="4:4" x14ac:dyDescent="0.3">
      <c r="D650" s="2"/>
    </row>
    <row r="651" spans="4:4" x14ac:dyDescent="0.3">
      <c r="D651" s="2"/>
    </row>
    <row r="652" spans="4:4" x14ac:dyDescent="0.3">
      <c r="D652" s="2"/>
    </row>
    <row r="653" spans="4:4" x14ac:dyDescent="0.3">
      <c r="D653" s="2"/>
    </row>
    <row r="654" spans="4:4" x14ac:dyDescent="0.3">
      <c r="D654" s="2"/>
    </row>
    <row r="655" spans="4:4" x14ac:dyDescent="0.3">
      <c r="D655" s="2"/>
    </row>
    <row r="656" spans="4:4" x14ac:dyDescent="0.3">
      <c r="D656" s="2"/>
    </row>
    <row r="657" spans="4:4" x14ac:dyDescent="0.3">
      <c r="D657" s="2"/>
    </row>
    <row r="658" spans="4:4" x14ac:dyDescent="0.3">
      <c r="D658" s="2"/>
    </row>
    <row r="659" spans="4:4" x14ac:dyDescent="0.3">
      <c r="D659" s="2"/>
    </row>
    <row r="660" spans="4:4" x14ac:dyDescent="0.3">
      <c r="D660" s="2"/>
    </row>
    <row r="661" spans="4:4" x14ac:dyDescent="0.3">
      <c r="D661" s="2"/>
    </row>
    <row r="662" spans="4:4" x14ac:dyDescent="0.3">
      <c r="D662" s="2"/>
    </row>
    <row r="663" spans="4:4" x14ac:dyDescent="0.3">
      <c r="D663" s="2"/>
    </row>
    <row r="664" spans="4:4" x14ac:dyDescent="0.3">
      <c r="D664" s="2"/>
    </row>
    <row r="665" spans="4:4" x14ac:dyDescent="0.3">
      <c r="D665" s="2"/>
    </row>
    <row r="666" spans="4:4" x14ac:dyDescent="0.3">
      <c r="D666" s="2"/>
    </row>
    <row r="667" spans="4:4" x14ac:dyDescent="0.3">
      <c r="D667" s="2"/>
    </row>
    <row r="668" spans="4:4" x14ac:dyDescent="0.3">
      <c r="D668" s="2"/>
    </row>
    <row r="669" spans="4:4" x14ac:dyDescent="0.3">
      <c r="D669" s="2"/>
    </row>
    <row r="670" spans="4:4" x14ac:dyDescent="0.3">
      <c r="D670" s="2"/>
    </row>
    <row r="671" spans="4:4" x14ac:dyDescent="0.3">
      <c r="D671" s="2"/>
    </row>
    <row r="672" spans="4:4" x14ac:dyDescent="0.3">
      <c r="D672" s="2"/>
    </row>
    <row r="673" spans="4:4" x14ac:dyDescent="0.3">
      <c r="D673" s="2"/>
    </row>
    <row r="674" spans="4:4" x14ac:dyDescent="0.3">
      <c r="D674" s="2"/>
    </row>
    <row r="675" spans="4:4" x14ac:dyDescent="0.3">
      <c r="D675" s="2"/>
    </row>
    <row r="676" spans="4:4" x14ac:dyDescent="0.3">
      <c r="D676" s="2"/>
    </row>
    <row r="677" spans="4:4" x14ac:dyDescent="0.3">
      <c r="D677" s="2"/>
    </row>
    <row r="678" spans="4:4" x14ac:dyDescent="0.3">
      <c r="D678" s="2"/>
    </row>
    <row r="679" spans="4:4" x14ac:dyDescent="0.3">
      <c r="D679" s="2"/>
    </row>
    <row r="680" spans="4:4" x14ac:dyDescent="0.3">
      <c r="D680" s="2"/>
    </row>
    <row r="681" spans="4:4" x14ac:dyDescent="0.3">
      <c r="D681" s="2"/>
    </row>
    <row r="682" spans="4:4" x14ac:dyDescent="0.3">
      <c r="D682" s="2"/>
    </row>
    <row r="684" spans="4:4" x14ac:dyDescent="0.3">
      <c r="D684" s="2"/>
    </row>
    <row r="699" spans="4:4" x14ac:dyDescent="0.3">
      <c r="D699" s="2"/>
    </row>
    <row r="700" spans="4:4" x14ac:dyDescent="0.3">
      <c r="D700" s="2"/>
    </row>
    <row r="701" spans="4:4" x14ac:dyDescent="0.3">
      <c r="D701" s="2"/>
    </row>
    <row r="702" spans="4:4" x14ac:dyDescent="0.3">
      <c r="D702" s="2"/>
    </row>
    <row r="705" spans="4:4" x14ac:dyDescent="0.3">
      <c r="D705" s="2"/>
    </row>
    <row r="706" spans="4:4" x14ac:dyDescent="0.3">
      <c r="D706" s="2"/>
    </row>
    <row r="714" spans="4:4" x14ac:dyDescent="0.3">
      <c r="D714" s="2"/>
    </row>
    <row r="715" spans="4:4" x14ac:dyDescent="0.3">
      <c r="D715" s="2"/>
    </row>
    <row r="716" spans="4:4" x14ac:dyDescent="0.3">
      <c r="D716" s="2"/>
    </row>
    <row r="717" spans="4:4" x14ac:dyDescent="0.3">
      <c r="D717" s="2"/>
    </row>
    <row r="718" spans="4:4" x14ac:dyDescent="0.3">
      <c r="D718" s="2"/>
    </row>
    <row r="719" spans="4:4" x14ac:dyDescent="0.3">
      <c r="D719" s="2"/>
    </row>
    <row r="720" spans="4:4" x14ac:dyDescent="0.3">
      <c r="D720" s="2"/>
    </row>
    <row r="721" spans="4:4" x14ac:dyDescent="0.3">
      <c r="D721" s="2"/>
    </row>
    <row r="722" spans="4:4" x14ac:dyDescent="0.3">
      <c r="D722" s="2"/>
    </row>
    <row r="723" spans="4:4" x14ac:dyDescent="0.3">
      <c r="D723" s="2"/>
    </row>
    <row r="724" spans="4:4" x14ac:dyDescent="0.3">
      <c r="D724" s="2"/>
    </row>
    <row r="725" spans="4:4" x14ac:dyDescent="0.3">
      <c r="D725" s="2"/>
    </row>
    <row r="726" spans="4:4" x14ac:dyDescent="0.3">
      <c r="D726" s="2"/>
    </row>
    <row r="727" spans="4:4" x14ac:dyDescent="0.3">
      <c r="D727" s="2"/>
    </row>
    <row r="728" spans="4:4" x14ac:dyDescent="0.3">
      <c r="D728" s="2"/>
    </row>
    <row r="729" spans="4:4" x14ac:dyDescent="0.3">
      <c r="D729" s="2"/>
    </row>
    <row r="730" spans="4:4" x14ac:dyDescent="0.3">
      <c r="D730" s="2"/>
    </row>
    <row r="731" spans="4:4" x14ac:dyDescent="0.3">
      <c r="D731" s="2"/>
    </row>
    <row r="732" spans="4:4" x14ac:dyDescent="0.3">
      <c r="D732" s="2"/>
    </row>
    <row r="733" spans="4:4" x14ac:dyDescent="0.3">
      <c r="D733" s="2"/>
    </row>
    <row r="734" spans="4:4" x14ac:dyDescent="0.3">
      <c r="D734" s="2"/>
    </row>
    <row r="735" spans="4:4" x14ac:dyDescent="0.3">
      <c r="D735" s="2"/>
    </row>
    <row r="736" spans="4:4" x14ac:dyDescent="0.3">
      <c r="D736" s="2"/>
    </row>
    <row r="737" spans="4:4" x14ac:dyDescent="0.3">
      <c r="D737" s="2"/>
    </row>
    <row r="738" spans="4:4" x14ac:dyDescent="0.3">
      <c r="D738" s="2"/>
    </row>
    <row r="739" spans="4:4" x14ac:dyDescent="0.3">
      <c r="D739" s="2"/>
    </row>
    <row r="740" spans="4:4" x14ac:dyDescent="0.3">
      <c r="D740" s="2"/>
    </row>
    <row r="741" spans="4:4" x14ac:dyDescent="0.3">
      <c r="D741" s="2"/>
    </row>
    <row r="742" spans="4:4" x14ac:dyDescent="0.3">
      <c r="D742" s="2"/>
    </row>
    <row r="743" spans="4:4" x14ac:dyDescent="0.3">
      <c r="D743" s="2"/>
    </row>
    <row r="744" spans="4:4" x14ac:dyDescent="0.3">
      <c r="D744" s="2"/>
    </row>
    <row r="745" spans="4:4" x14ac:dyDescent="0.3">
      <c r="D745" s="2"/>
    </row>
    <row r="746" spans="4:4" x14ac:dyDescent="0.3">
      <c r="D746" s="2"/>
    </row>
    <row r="747" spans="4:4" x14ac:dyDescent="0.3">
      <c r="D747" s="2"/>
    </row>
    <row r="748" spans="4:4" x14ac:dyDescent="0.3">
      <c r="D748" s="2"/>
    </row>
    <row r="749" spans="4:4" x14ac:dyDescent="0.3">
      <c r="D749" s="2"/>
    </row>
    <row r="750" spans="4:4" x14ac:dyDescent="0.3">
      <c r="D750" s="2"/>
    </row>
    <row r="751" spans="4:4" x14ac:dyDescent="0.3">
      <c r="D751" s="2"/>
    </row>
    <row r="752" spans="4:4" x14ac:dyDescent="0.3">
      <c r="D752" s="2"/>
    </row>
    <row r="753" spans="4:4" x14ac:dyDescent="0.3">
      <c r="D753" s="2"/>
    </row>
    <row r="754" spans="4:4" x14ac:dyDescent="0.3">
      <c r="D754" s="2"/>
    </row>
    <row r="755" spans="4:4" x14ac:dyDescent="0.3">
      <c r="D755" s="2"/>
    </row>
    <row r="756" spans="4:4" x14ac:dyDescent="0.3">
      <c r="D756" s="2"/>
    </row>
    <row r="757" spans="4:4" x14ac:dyDescent="0.3">
      <c r="D757" s="2"/>
    </row>
    <row r="758" spans="4:4" x14ac:dyDescent="0.3">
      <c r="D758" s="2"/>
    </row>
    <row r="759" spans="4:4" x14ac:dyDescent="0.3">
      <c r="D759" s="2"/>
    </row>
    <row r="760" spans="4:4" x14ac:dyDescent="0.3">
      <c r="D760" s="2"/>
    </row>
    <row r="761" spans="4:4" x14ac:dyDescent="0.3">
      <c r="D761" s="2"/>
    </row>
    <row r="762" spans="4:4" x14ac:dyDescent="0.3">
      <c r="D762" s="2"/>
    </row>
    <row r="763" spans="4:4" x14ac:dyDescent="0.3">
      <c r="D763" s="2"/>
    </row>
    <row r="764" spans="4:4" x14ac:dyDescent="0.3">
      <c r="D764" s="2"/>
    </row>
    <row r="765" spans="4:4" x14ac:dyDescent="0.3">
      <c r="D765" s="2"/>
    </row>
    <row r="766" spans="4:4" x14ac:dyDescent="0.3">
      <c r="D766" s="2"/>
    </row>
    <row r="767" spans="4:4" x14ac:dyDescent="0.3">
      <c r="D767" s="2"/>
    </row>
    <row r="768" spans="4:4" x14ac:dyDescent="0.3">
      <c r="D768" s="2"/>
    </row>
    <row r="769" spans="4:4" x14ac:dyDescent="0.3">
      <c r="D769" s="2"/>
    </row>
    <row r="770" spans="4:4" x14ac:dyDescent="0.3">
      <c r="D770" s="2"/>
    </row>
    <row r="771" spans="4:4" x14ac:dyDescent="0.3">
      <c r="D771" s="2"/>
    </row>
    <row r="772" spans="4:4" x14ac:dyDescent="0.3">
      <c r="D772" s="2"/>
    </row>
    <row r="773" spans="4:4" x14ac:dyDescent="0.3">
      <c r="D773" s="2"/>
    </row>
    <row r="774" spans="4:4" x14ac:dyDescent="0.3">
      <c r="D774" s="2"/>
    </row>
    <row r="775" spans="4:4" x14ac:dyDescent="0.3">
      <c r="D775" s="2"/>
    </row>
    <row r="776" spans="4:4" x14ac:dyDescent="0.3">
      <c r="D776" s="2"/>
    </row>
    <row r="777" spans="4:4" x14ac:dyDescent="0.3">
      <c r="D777" s="2"/>
    </row>
    <row r="778" spans="4:4" x14ac:dyDescent="0.3">
      <c r="D778" s="2"/>
    </row>
    <row r="779" spans="4:4" x14ac:dyDescent="0.3">
      <c r="D779" s="2"/>
    </row>
    <row r="780" spans="4:4" x14ac:dyDescent="0.3">
      <c r="D780" s="2"/>
    </row>
    <row r="781" spans="4:4" x14ac:dyDescent="0.3">
      <c r="D781" s="2"/>
    </row>
    <row r="782" spans="4:4" x14ac:dyDescent="0.3">
      <c r="D782" s="2"/>
    </row>
    <row r="783" spans="4:4" x14ac:dyDescent="0.3">
      <c r="D783" s="2"/>
    </row>
    <row r="784" spans="4:4" x14ac:dyDescent="0.3">
      <c r="D784" s="2"/>
    </row>
    <row r="785" spans="4:4" x14ac:dyDescent="0.3">
      <c r="D785" s="2"/>
    </row>
    <row r="786" spans="4:4" x14ac:dyDescent="0.3">
      <c r="D786" s="2"/>
    </row>
    <row r="787" spans="4:4" x14ac:dyDescent="0.3">
      <c r="D787" s="2"/>
    </row>
    <row r="788" spans="4:4" x14ac:dyDescent="0.3">
      <c r="D788" s="2"/>
    </row>
    <row r="789" spans="4:4" x14ac:dyDescent="0.3">
      <c r="D789" s="2"/>
    </row>
    <row r="790" spans="4:4" x14ac:dyDescent="0.3">
      <c r="D790" s="2"/>
    </row>
    <row r="791" spans="4:4" x14ac:dyDescent="0.3">
      <c r="D791" s="2"/>
    </row>
    <row r="792" spans="4:4" x14ac:dyDescent="0.3">
      <c r="D792" s="2"/>
    </row>
    <row r="793" spans="4:4" x14ac:dyDescent="0.3">
      <c r="D793" s="2"/>
    </row>
    <row r="794" spans="4:4" x14ac:dyDescent="0.3">
      <c r="D794" s="2"/>
    </row>
    <row r="795" spans="4:4" x14ac:dyDescent="0.3">
      <c r="D795" s="2"/>
    </row>
    <row r="796" spans="4:4" x14ac:dyDescent="0.3">
      <c r="D796" s="2"/>
    </row>
    <row r="797" spans="4:4" x14ac:dyDescent="0.3">
      <c r="D797" s="2"/>
    </row>
    <row r="798" spans="4:4" x14ac:dyDescent="0.3">
      <c r="D798" s="2"/>
    </row>
    <row r="799" spans="4:4" x14ac:dyDescent="0.3">
      <c r="D799" s="2"/>
    </row>
    <row r="800" spans="4:4" x14ac:dyDescent="0.3">
      <c r="D800" s="2"/>
    </row>
    <row r="801" spans="4:4" x14ac:dyDescent="0.3">
      <c r="D801" s="2"/>
    </row>
    <row r="802" spans="4:4" x14ac:dyDescent="0.3">
      <c r="D802" s="2"/>
    </row>
    <row r="803" spans="4:4" x14ac:dyDescent="0.3">
      <c r="D803" s="2"/>
    </row>
    <row r="804" spans="4:4" x14ac:dyDescent="0.3">
      <c r="D804" s="2"/>
    </row>
    <row r="805" spans="4:4" x14ac:dyDescent="0.3">
      <c r="D805" s="2"/>
    </row>
    <row r="806" spans="4:4" x14ac:dyDescent="0.3">
      <c r="D806" s="2"/>
    </row>
    <row r="807" spans="4:4" x14ac:dyDescent="0.3">
      <c r="D807" s="2"/>
    </row>
    <row r="808" spans="4:4" x14ac:dyDescent="0.3">
      <c r="D808" s="2"/>
    </row>
    <row r="809" spans="4:4" x14ac:dyDescent="0.3">
      <c r="D809" s="2"/>
    </row>
    <row r="810" spans="4:4" x14ac:dyDescent="0.3">
      <c r="D810" s="2"/>
    </row>
    <row r="811" spans="4:4" x14ac:dyDescent="0.3">
      <c r="D811" s="2"/>
    </row>
    <row r="812" spans="4:4" x14ac:dyDescent="0.3">
      <c r="D812" s="2"/>
    </row>
    <row r="813" spans="4:4" x14ac:dyDescent="0.3">
      <c r="D813" s="2"/>
    </row>
    <row r="814" spans="4:4" x14ac:dyDescent="0.3">
      <c r="D814" s="2"/>
    </row>
    <row r="815" spans="4:4" x14ac:dyDescent="0.3">
      <c r="D815" s="2"/>
    </row>
    <row r="816" spans="4:4" x14ac:dyDescent="0.3">
      <c r="D816" s="2"/>
    </row>
    <row r="817" spans="4:4" x14ac:dyDescent="0.3">
      <c r="D817" s="2"/>
    </row>
    <row r="818" spans="4:4" x14ac:dyDescent="0.3">
      <c r="D818" s="2"/>
    </row>
    <row r="819" spans="4:4" x14ac:dyDescent="0.3">
      <c r="D819" s="2"/>
    </row>
    <row r="820" spans="4:4" x14ac:dyDescent="0.3">
      <c r="D820" s="2"/>
    </row>
    <row r="821" spans="4:4" x14ac:dyDescent="0.3">
      <c r="D821" s="2"/>
    </row>
    <row r="822" spans="4:4" x14ac:dyDescent="0.3">
      <c r="D822" s="2"/>
    </row>
    <row r="823" spans="4:4" x14ac:dyDescent="0.3">
      <c r="D823" s="2"/>
    </row>
    <row r="824" spans="4:4" x14ac:dyDescent="0.3">
      <c r="D824" s="2"/>
    </row>
    <row r="825" spans="4:4" x14ac:dyDescent="0.3">
      <c r="D825" s="2"/>
    </row>
    <row r="826" spans="4:4" x14ac:dyDescent="0.3">
      <c r="D826" s="2"/>
    </row>
    <row r="827" spans="4:4" x14ac:dyDescent="0.3">
      <c r="D827" s="2"/>
    </row>
    <row r="828" spans="4:4" x14ac:dyDescent="0.3">
      <c r="D828" s="2"/>
    </row>
    <row r="829" spans="4:4" x14ac:dyDescent="0.3">
      <c r="D829" s="2"/>
    </row>
    <row r="830" spans="4:4" x14ac:dyDescent="0.3">
      <c r="D830" s="2"/>
    </row>
    <row r="831" spans="4:4" x14ac:dyDescent="0.3">
      <c r="D831" s="2"/>
    </row>
    <row r="832" spans="4:4" x14ac:dyDescent="0.3">
      <c r="D832" s="2"/>
    </row>
    <row r="833" spans="4:4" x14ac:dyDescent="0.3">
      <c r="D833" s="2"/>
    </row>
    <row r="834" spans="4:4" x14ac:dyDescent="0.3">
      <c r="D834" s="2"/>
    </row>
    <row r="835" spans="4:4" x14ac:dyDescent="0.3">
      <c r="D835" s="2"/>
    </row>
    <row r="836" spans="4:4" x14ac:dyDescent="0.3">
      <c r="D836" s="2"/>
    </row>
    <row r="837" spans="4:4" x14ac:dyDescent="0.3">
      <c r="D837" s="2"/>
    </row>
    <row r="838" spans="4:4" x14ac:dyDescent="0.3">
      <c r="D838" s="2"/>
    </row>
    <row r="839" spans="4:4" x14ac:dyDescent="0.3">
      <c r="D839" s="2"/>
    </row>
    <row r="840" spans="4:4" x14ac:dyDescent="0.3">
      <c r="D840" s="2"/>
    </row>
    <row r="841" spans="4:4" x14ac:dyDescent="0.3">
      <c r="D841" s="2"/>
    </row>
    <row r="842" spans="4:4" x14ac:dyDescent="0.3">
      <c r="D842" s="2"/>
    </row>
    <row r="843" spans="4:4" x14ac:dyDescent="0.3">
      <c r="D843" s="2"/>
    </row>
    <row r="844" spans="4:4" x14ac:dyDescent="0.3">
      <c r="D844" s="2"/>
    </row>
    <row r="845" spans="4:4" x14ac:dyDescent="0.3">
      <c r="D845" s="2"/>
    </row>
    <row r="846" spans="4:4" x14ac:dyDescent="0.3">
      <c r="D846" s="2"/>
    </row>
    <row r="847" spans="4:4" x14ac:dyDescent="0.3">
      <c r="D847" s="2"/>
    </row>
    <row r="848" spans="4:4" x14ac:dyDescent="0.3">
      <c r="D848" s="2"/>
    </row>
    <row r="849" spans="4:4" x14ac:dyDescent="0.3">
      <c r="D849" s="2"/>
    </row>
    <row r="850" spans="4:4" x14ac:dyDescent="0.3">
      <c r="D850" s="2"/>
    </row>
    <row r="851" spans="4:4" x14ac:dyDescent="0.3">
      <c r="D851" s="2"/>
    </row>
    <row r="852" spans="4:4" x14ac:dyDescent="0.3">
      <c r="D852" s="2"/>
    </row>
    <row r="853" spans="4:4" x14ac:dyDescent="0.3">
      <c r="D853" s="2"/>
    </row>
    <row r="854" spans="4:4" x14ac:dyDescent="0.3">
      <c r="D854" s="2"/>
    </row>
    <row r="855" spans="4:4" x14ac:dyDescent="0.3">
      <c r="D855" s="2"/>
    </row>
    <row r="856" spans="4:4" x14ac:dyDescent="0.3">
      <c r="D856" s="2"/>
    </row>
    <row r="857" spans="4:4" x14ac:dyDescent="0.3">
      <c r="D857" s="2"/>
    </row>
    <row r="858" spans="4:4" x14ac:dyDescent="0.3">
      <c r="D858" s="2"/>
    </row>
    <row r="859" spans="4:4" x14ac:dyDescent="0.3">
      <c r="D859" s="2"/>
    </row>
    <row r="860" spans="4:4" x14ac:dyDescent="0.3">
      <c r="D860" s="2"/>
    </row>
    <row r="861" spans="4:4" x14ac:dyDescent="0.3">
      <c r="D861" s="2"/>
    </row>
    <row r="862" spans="4:4" x14ac:dyDescent="0.3">
      <c r="D862" s="2"/>
    </row>
    <row r="863" spans="4:4" x14ac:dyDescent="0.3">
      <c r="D863" s="2"/>
    </row>
    <row r="864" spans="4:4" x14ac:dyDescent="0.3">
      <c r="D864" s="2"/>
    </row>
    <row r="865" spans="4:4" x14ac:dyDescent="0.3">
      <c r="D865" s="2"/>
    </row>
    <row r="866" spans="4:4" x14ac:dyDescent="0.3">
      <c r="D866" s="2"/>
    </row>
    <row r="867" spans="4:4" x14ac:dyDescent="0.3">
      <c r="D867" s="2"/>
    </row>
    <row r="868" spans="4:4" x14ac:dyDescent="0.3">
      <c r="D868" s="2"/>
    </row>
    <row r="869" spans="4:4" x14ac:dyDescent="0.3">
      <c r="D869" s="2"/>
    </row>
    <row r="870" spans="4:4" x14ac:dyDescent="0.3">
      <c r="D870" s="2"/>
    </row>
    <row r="871" spans="4:4" x14ac:dyDescent="0.3">
      <c r="D871" s="2"/>
    </row>
    <row r="872" spans="4:4" x14ac:dyDescent="0.3">
      <c r="D872" s="2"/>
    </row>
    <row r="873" spans="4:4" x14ac:dyDescent="0.3">
      <c r="D873" s="2"/>
    </row>
    <row r="874" spans="4:4" x14ac:dyDescent="0.3">
      <c r="D874" s="2"/>
    </row>
    <row r="875" spans="4:4" x14ac:dyDescent="0.3">
      <c r="D875" s="2"/>
    </row>
    <row r="876" spans="4:4" x14ac:dyDescent="0.3">
      <c r="D876" s="2"/>
    </row>
    <row r="877" spans="4:4" x14ac:dyDescent="0.3">
      <c r="D877" s="2"/>
    </row>
    <row r="878" spans="4:4" x14ac:dyDescent="0.3">
      <c r="D878" s="2"/>
    </row>
    <row r="879" spans="4:4" x14ac:dyDescent="0.3">
      <c r="D879" s="2"/>
    </row>
    <row r="880" spans="4:4" x14ac:dyDescent="0.3">
      <c r="D880" s="2"/>
    </row>
    <row r="881" spans="4:4" x14ac:dyDescent="0.3">
      <c r="D881" s="2"/>
    </row>
    <row r="882" spans="4:4" x14ac:dyDescent="0.3">
      <c r="D882" s="2"/>
    </row>
    <row r="883" spans="4:4" x14ac:dyDescent="0.3">
      <c r="D883" s="2"/>
    </row>
    <row r="884" spans="4:4" x14ac:dyDescent="0.3">
      <c r="D884" s="2"/>
    </row>
    <row r="885" spans="4:4" x14ac:dyDescent="0.3">
      <c r="D885" s="2"/>
    </row>
    <row r="886" spans="4:4" x14ac:dyDescent="0.3">
      <c r="D886" s="2"/>
    </row>
    <row r="887" spans="4:4" x14ac:dyDescent="0.3">
      <c r="D887" s="2"/>
    </row>
    <row r="888" spans="4:4" x14ac:dyDescent="0.3">
      <c r="D888" s="2"/>
    </row>
    <row r="889" spans="4:4" x14ac:dyDescent="0.3">
      <c r="D889" s="2"/>
    </row>
    <row r="890" spans="4:4" x14ac:dyDescent="0.3">
      <c r="D890" s="2"/>
    </row>
    <row r="891" spans="4:4" x14ac:dyDescent="0.3">
      <c r="D891" s="2"/>
    </row>
    <row r="892" spans="4:4" x14ac:dyDescent="0.3">
      <c r="D892" s="2"/>
    </row>
    <row r="893" spans="4:4" x14ac:dyDescent="0.3">
      <c r="D893" s="2"/>
    </row>
    <row r="894" spans="4:4" x14ac:dyDescent="0.3">
      <c r="D894" s="2"/>
    </row>
    <row r="895" spans="4:4" x14ac:dyDescent="0.3">
      <c r="D895" s="2"/>
    </row>
    <row r="896" spans="4:4" x14ac:dyDescent="0.3">
      <c r="D896" s="2"/>
    </row>
    <row r="897" spans="4:4" x14ac:dyDescent="0.3">
      <c r="D897" s="2"/>
    </row>
    <row r="898" spans="4:4" x14ac:dyDescent="0.3">
      <c r="D898" s="2"/>
    </row>
    <row r="899" spans="4:4" x14ac:dyDescent="0.3">
      <c r="D899" s="2"/>
    </row>
    <row r="900" spans="4:4" x14ac:dyDescent="0.3">
      <c r="D900" s="2"/>
    </row>
    <row r="901" spans="4:4" x14ac:dyDescent="0.3">
      <c r="D901" s="2"/>
    </row>
    <row r="902" spans="4:4" x14ac:dyDescent="0.3">
      <c r="D902" s="2"/>
    </row>
    <row r="903" spans="4:4" x14ac:dyDescent="0.3">
      <c r="D903" s="2"/>
    </row>
    <row r="904" spans="4:4" x14ac:dyDescent="0.3">
      <c r="D904" s="2"/>
    </row>
    <row r="905" spans="4:4" x14ac:dyDescent="0.3">
      <c r="D905" s="2"/>
    </row>
    <row r="906" spans="4:4" x14ac:dyDescent="0.3">
      <c r="D906" s="2"/>
    </row>
    <row r="907" spans="4:4" x14ac:dyDescent="0.3">
      <c r="D907" s="2"/>
    </row>
    <row r="908" spans="4:4" x14ac:dyDescent="0.3">
      <c r="D908" s="2"/>
    </row>
    <row r="909" spans="4:4" x14ac:dyDescent="0.3">
      <c r="D909" s="2"/>
    </row>
    <row r="910" spans="4:4" x14ac:dyDescent="0.3">
      <c r="D910" s="2"/>
    </row>
    <row r="911" spans="4:4" x14ac:dyDescent="0.3">
      <c r="D911" s="2"/>
    </row>
    <row r="912" spans="4:4" x14ac:dyDescent="0.3">
      <c r="D912" s="2"/>
    </row>
    <row r="913" spans="4:4" x14ac:dyDescent="0.3">
      <c r="D913" s="2"/>
    </row>
    <row r="914" spans="4:4" x14ac:dyDescent="0.3">
      <c r="D914" s="2"/>
    </row>
    <row r="915" spans="4:4" x14ac:dyDescent="0.3">
      <c r="D915" s="2"/>
    </row>
    <row r="916" spans="4:4" x14ac:dyDescent="0.3">
      <c r="D916" s="2"/>
    </row>
    <row r="917" spans="4:4" x14ac:dyDescent="0.3">
      <c r="D917" s="2"/>
    </row>
    <row r="918" spans="4:4" x14ac:dyDescent="0.3">
      <c r="D918" s="2"/>
    </row>
    <row r="919" spans="4:4" x14ac:dyDescent="0.3">
      <c r="D919" s="2"/>
    </row>
    <row r="920" spans="4:4" x14ac:dyDescent="0.3">
      <c r="D920" s="2"/>
    </row>
    <row r="921" spans="4:4" x14ac:dyDescent="0.3">
      <c r="D921" s="2"/>
    </row>
    <row r="922" spans="4:4" x14ac:dyDescent="0.3">
      <c r="D922" s="2"/>
    </row>
    <row r="923" spans="4:4" x14ac:dyDescent="0.3">
      <c r="D923" s="2"/>
    </row>
    <row r="924" spans="4:4" x14ac:dyDescent="0.3">
      <c r="D924" s="2"/>
    </row>
    <row r="925" spans="4:4" x14ac:dyDescent="0.3">
      <c r="D925" s="2"/>
    </row>
    <row r="926" spans="4:4" x14ac:dyDescent="0.3">
      <c r="D926" s="2"/>
    </row>
    <row r="927" spans="4:4" x14ac:dyDescent="0.3">
      <c r="D927" s="2"/>
    </row>
    <row r="928" spans="4:4" x14ac:dyDescent="0.3">
      <c r="D928" s="2"/>
    </row>
    <row r="929" spans="4:4" x14ac:dyDescent="0.3">
      <c r="D929" s="2"/>
    </row>
    <row r="930" spans="4:4" x14ac:dyDescent="0.3">
      <c r="D930" s="2"/>
    </row>
    <row r="931" spans="4:4" x14ac:dyDescent="0.3">
      <c r="D931" s="2"/>
    </row>
    <row r="932" spans="4:4" x14ac:dyDescent="0.3">
      <c r="D932" s="2"/>
    </row>
    <row r="933" spans="4:4" x14ac:dyDescent="0.3">
      <c r="D933" s="2"/>
    </row>
    <row r="934" spans="4:4" x14ac:dyDescent="0.3">
      <c r="D934" s="2"/>
    </row>
    <row r="935" spans="4:4" x14ac:dyDescent="0.3">
      <c r="D935" s="2"/>
    </row>
    <row r="936" spans="4:4" x14ac:dyDescent="0.3">
      <c r="D936" s="2"/>
    </row>
    <row r="937" spans="4:4" x14ac:dyDescent="0.3">
      <c r="D937" s="2"/>
    </row>
    <row r="938" spans="4:4" x14ac:dyDescent="0.3">
      <c r="D938" s="2"/>
    </row>
    <row r="939" spans="4:4" x14ac:dyDescent="0.3">
      <c r="D939" s="2"/>
    </row>
    <row r="940" spans="4:4" x14ac:dyDescent="0.3">
      <c r="D940" s="2"/>
    </row>
    <row r="941" spans="4:4" x14ac:dyDescent="0.3">
      <c r="D941" s="2"/>
    </row>
    <row r="942" spans="4:4" x14ac:dyDescent="0.3">
      <c r="D942" s="2"/>
    </row>
    <row r="943" spans="4:4" x14ac:dyDescent="0.3">
      <c r="D943" s="2"/>
    </row>
    <row r="944" spans="4:4" x14ac:dyDescent="0.3">
      <c r="D944" s="2"/>
    </row>
    <row r="945" spans="4:4" x14ac:dyDescent="0.3">
      <c r="D945" s="2"/>
    </row>
    <row r="946" spans="4:4" x14ac:dyDescent="0.3">
      <c r="D946" s="2"/>
    </row>
    <row r="947" spans="4:4" x14ac:dyDescent="0.3">
      <c r="D947" s="2"/>
    </row>
    <row r="948" spans="4:4" x14ac:dyDescent="0.3">
      <c r="D948" s="2"/>
    </row>
    <row r="949" spans="4:4" x14ac:dyDescent="0.3">
      <c r="D949" s="2"/>
    </row>
    <row r="950" spans="4:4" x14ac:dyDescent="0.3">
      <c r="D950" s="2"/>
    </row>
    <row r="951" spans="4:4" x14ac:dyDescent="0.3">
      <c r="D951" s="2"/>
    </row>
    <row r="952" spans="4:4" x14ac:dyDescent="0.3">
      <c r="D952" s="2"/>
    </row>
    <row r="953" spans="4:4" x14ac:dyDescent="0.3">
      <c r="D953" s="2"/>
    </row>
    <row r="954" spans="4:4" x14ac:dyDescent="0.3">
      <c r="D954" s="2"/>
    </row>
    <row r="955" spans="4:4" x14ac:dyDescent="0.3">
      <c r="D955" s="2"/>
    </row>
    <row r="956" spans="4:4" x14ac:dyDescent="0.3">
      <c r="D956" s="2"/>
    </row>
    <row r="957" spans="4:4" x14ac:dyDescent="0.3">
      <c r="D957" s="2"/>
    </row>
    <row r="958" spans="4:4" x14ac:dyDescent="0.3">
      <c r="D958" s="2"/>
    </row>
    <row r="959" spans="4:4" x14ac:dyDescent="0.3">
      <c r="D959" s="2"/>
    </row>
    <row r="960" spans="4:4" x14ac:dyDescent="0.3">
      <c r="D960" s="2"/>
    </row>
    <row r="961" spans="4:4" x14ac:dyDescent="0.3">
      <c r="D961" s="2"/>
    </row>
    <row r="962" spans="4:4" x14ac:dyDescent="0.3">
      <c r="D962" s="2"/>
    </row>
    <row r="963" spans="4:4" x14ac:dyDescent="0.3">
      <c r="D963" s="2"/>
    </row>
    <row r="964" spans="4:4" x14ac:dyDescent="0.3">
      <c r="D964" s="2"/>
    </row>
    <row r="965" spans="4:4" x14ac:dyDescent="0.3">
      <c r="D965" s="2"/>
    </row>
    <row r="966" spans="4:4" x14ac:dyDescent="0.3">
      <c r="D966" s="2"/>
    </row>
    <row r="967" spans="4:4" x14ac:dyDescent="0.3">
      <c r="D967" s="2"/>
    </row>
    <row r="968" spans="4:4" x14ac:dyDescent="0.3">
      <c r="D968" s="2"/>
    </row>
    <row r="969" spans="4:4" x14ac:dyDescent="0.3">
      <c r="D969" s="2"/>
    </row>
    <row r="970" spans="4:4" x14ac:dyDescent="0.3">
      <c r="D970" s="2"/>
    </row>
    <row r="971" spans="4:4" x14ac:dyDescent="0.3">
      <c r="D971" s="2"/>
    </row>
    <row r="972" spans="4:4" x14ac:dyDescent="0.3">
      <c r="D972" s="2"/>
    </row>
    <row r="973" spans="4:4" x14ac:dyDescent="0.3">
      <c r="D973" s="2"/>
    </row>
    <row r="974" spans="4:4" x14ac:dyDescent="0.3">
      <c r="D974" s="2"/>
    </row>
    <row r="975" spans="4:4" x14ac:dyDescent="0.3">
      <c r="D975" s="2"/>
    </row>
    <row r="976" spans="4:4" x14ac:dyDescent="0.3">
      <c r="D976" s="2"/>
    </row>
    <row r="977" spans="4:4" x14ac:dyDescent="0.3">
      <c r="D977" s="2"/>
    </row>
    <row r="978" spans="4:4" x14ac:dyDescent="0.3">
      <c r="D978" s="2"/>
    </row>
    <row r="979" spans="4:4" x14ac:dyDescent="0.3">
      <c r="D979" s="2"/>
    </row>
    <row r="980" spans="4:4" x14ac:dyDescent="0.3">
      <c r="D980" s="2"/>
    </row>
    <row r="981" spans="4:4" x14ac:dyDescent="0.3">
      <c r="D981" s="2"/>
    </row>
    <row r="982" spans="4:4" x14ac:dyDescent="0.3">
      <c r="D982" s="2"/>
    </row>
    <row r="983" spans="4:4" x14ac:dyDescent="0.3">
      <c r="D983" s="2"/>
    </row>
    <row r="984" spans="4:4" x14ac:dyDescent="0.3">
      <c r="D984" s="2"/>
    </row>
    <row r="985" spans="4:4" x14ac:dyDescent="0.3">
      <c r="D985" s="2"/>
    </row>
    <row r="986" spans="4:4" x14ac:dyDescent="0.3">
      <c r="D986" s="2"/>
    </row>
    <row r="987" spans="4:4" x14ac:dyDescent="0.3">
      <c r="D987" s="2"/>
    </row>
    <row r="988" spans="4:4" x14ac:dyDescent="0.3">
      <c r="D988" s="2"/>
    </row>
    <row r="989" spans="4:4" x14ac:dyDescent="0.3">
      <c r="D989" s="2"/>
    </row>
    <row r="990" spans="4:4" x14ac:dyDescent="0.3">
      <c r="D990" s="2"/>
    </row>
    <row r="991" spans="4:4" x14ac:dyDescent="0.3">
      <c r="D991" s="2"/>
    </row>
    <row r="992" spans="4:4" x14ac:dyDescent="0.3">
      <c r="D992" s="2"/>
    </row>
    <row r="993" spans="4:4" x14ac:dyDescent="0.3">
      <c r="D993" s="2"/>
    </row>
    <row r="994" spans="4:4" x14ac:dyDescent="0.3">
      <c r="D994" s="2"/>
    </row>
    <row r="995" spans="4:4" x14ac:dyDescent="0.3">
      <c r="D995" s="2"/>
    </row>
    <row r="996" spans="4:4" x14ac:dyDescent="0.3">
      <c r="D996" s="2"/>
    </row>
  </sheetData>
  <mergeCells count="1">
    <mergeCell ref="A1:Y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SHEET</vt:lpstr>
      <vt:lpstr>CIA 3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2025-10-07T08:28:54Z</dcterms:created>
  <dcterms:modified xsi:type="dcterms:W3CDTF">2026-09-07T05:42:43Z</dcterms:modified>
</cp:coreProperties>
</file>