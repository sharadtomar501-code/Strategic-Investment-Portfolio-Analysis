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3040" windowHeight="1098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G66" i="1" l="1"/>
  <c r="G70" i="1"/>
  <c r="G72" i="1"/>
  <c r="K65" i="1" l="1"/>
  <c r="C96" i="1"/>
  <c r="C95" i="1"/>
  <c r="D95" i="1" s="1"/>
  <c r="F95" i="1" s="1"/>
  <c r="C94" i="1"/>
  <c r="D94" i="1" s="1"/>
  <c r="F94" i="1" s="1"/>
  <c r="C93" i="1"/>
  <c r="D93" i="1" s="1"/>
  <c r="F93" i="1" s="1"/>
  <c r="C104" i="1" s="1"/>
  <c r="C92" i="1"/>
  <c r="D92" i="1" s="1"/>
  <c r="F92" i="1" s="1"/>
  <c r="C91" i="1"/>
  <c r="D91" i="1" s="1"/>
  <c r="F91" i="1" s="1"/>
  <c r="C103" i="1" s="1"/>
  <c r="C90" i="1"/>
  <c r="D90" i="1" s="1"/>
  <c r="F90" i="1" s="1"/>
  <c r="C89" i="1"/>
  <c r="K70" i="1" s="1"/>
  <c r="C88" i="1"/>
  <c r="D88" i="1" s="1"/>
  <c r="F88" i="1" s="1"/>
  <c r="C87" i="1"/>
  <c r="D87" i="1" s="1"/>
  <c r="F87" i="1" s="1"/>
  <c r="C86" i="1"/>
  <c r="D86" i="1" s="1"/>
  <c r="F86" i="1" s="1"/>
  <c r="C85" i="1"/>
  <c r="D85" i="1" s="1"/>
  <c r="F85" i="1" s="1"/>
  <c r="C84" i="1"/>
  <c r="D84" i="1" s="1"/>
  <c r="F84" i="1" s="1"/>
  <c r="C102" i="1" s="1"/>
  <c r="C83" i="1"/>
  <c r="D83" i="1" s="1"/>
  <c r="F83" i="1" s="1"/>
  <c r="C101" i="1" s="1"/>
  <c r="C82" i="1"/>
  <c r="D82" i="1" s="1"/>
  <c r="F82" i="1" s="1"/>
  <c r="E63" i="1"/>
  <c r="AY13" i="1"/>
  <c r="D89" i="1" l="1"/>
  <c r="F89" i="1" s="1"/>
  <c r="K67" i="1"/>
  <c r="D96" i="1"/>
  <c r="F96" i="1" s="1"/>
  <c r="K68" i="1"/>
  <c r="K66" i="1"/>
  <c r="K69" i="1"/>
  <c r="E65" i="1"/>
  <c r="E77" i="1"/>
  <c r="E76" i="1"/>
  <c r="E75" i="1"/>
  <c r="E74" i="1"/>
  <c r="E73" i="1"/>
  <c r="E72" i="1"/>
  <c r="E71" i="1"/>
  <c r="E70" i="1"/>
  <c r="E69" i="1"/>
  <c r="E68" i="1"/>
  <c r="E67" i="1"/>
  <c r="E66" i="1"/>
  <c r="E64" i="1"/>
  <c r="C12" i="1"/>
  <c r="AW57" i="1" l="1"/>
  <c r="C74" i="1" s="1"/>
  <c r="AW55" i="1"/>
  <c r="AV42" i="1"/>
  <c r="AV55" i="1" s="1"/>
  <c r="AV56" i="1" s="1"/>
  <c r="B74" i="1" s="1"/>
  <c r="K74" i="1" s="1"/>
  <c r="AV54" i="1"/>
  <c r="AV53" i="1"/>
  <c r="AV52" i="1"/>
  <c r="AV51" i="1"/>
  <c r="AV50" i="1"/>
  <c r="AV49" i="1"/>
  <c r="AV48" i="1"/>
  <c r="AV47" i="1"/>
  <c r="AV46" i="1"/>
  <c r="AV45" i="1"/>
  <c r="AV44" i="1"/>
  <c r="AV43" i="1"/>
  <c r="AU17" i="1"/>
  <c r="F74" i="1" s="1"/>
  <c r="AK55" i="1" l="1"/>
  <c r="AK57" i="1" s="1"/>
  <c r="C71" i="1" s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I17" i="1"/>
  <c r="F71" i="1" s="1"/>
  <c r="Y57" i="1"/>
  <c r="C68" i="1" s="1"/>
  <c r="X42" i="1"/>
  <c r="X54" i="1"/>
  <c r="X53" i="1"/>
  <c r="X52" i="1"/>
  <c r="X51" i="1"/>
  <c r="X50" i="1"/>
  <c r="X49" i="1"/>
  <c r="X48" i="1"/>
  <c r="X47" i="1"/>
  <c r="X46" i="1"/>
  <c r="X45" i="1"/>
  <c r="X44" i="1"/>
  <c r="X43" i="1"/>
  <c r="U55" i="1"/>
  <c r="U57" i="1" s="1"/>
  <c r="C67" i="1" s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AJ55" i="1" l="1"/>
  <c r="AJ56" i="1" s="1"/>
  <c r="B71" i="1" s="1"/>
  <c r="K71" i="1" s="1"/>
  <c r="X55" i="1"/>
  <c r="X56" i="1" s="1"/>
  <c r="T55" i="1"/>
  <c r="T56" i="1" s="1"/>
  <c r="AE17" i="1" l="1"/>
  <c r="F70" i="1" s="1"/>
  <c r="B36" i="1"/>
  <c r="AE42" i="1" l="1"/>
  <c r="AE50" i="1"/>
  <c r="AE43" i="1"/>
  <c r="AE47" i="1"/>
  <c r="AE51" i="1"/>
  <c r="AE46" i="1"/>
  <c r="AE54" i="1"/>
  <c r="AE44" i="1"/>
  <c r="AE48" i="1"/>
  <c r="AE52" i="1"/>
  <c r="AE45" i="1"/>
  <c r="AE49" i="1"/>
  <c r="AE53" i="1"/>
  <c r="AF45" i="1" l="1"/>
  <c r="AF43" i="1"/>
  <c r="AF54" i="1"/>
  <c r="AF52" i="1"/>
  <c r="AF50" i="1"/>
  <c r="AF47" i="1"/>
  <c r="AF46" i="1"/>
  <c r="AF53" i="1"/>
  <c r="AF48" i="1"/>
  <c r="AF49" i="1"/>
  <c r="AF44" i="1"/>
  <c r="AF51" i="1"/>
  <c r="AF42" i="1"/>
  <c r="AF55" i="1" l="1"/>
  <c r="AF56" i="1" s="1"/>
  <c r="C9" i="1"/>
  <c r="C17" i="1" l="1"/>
  <c r="F63" i="1" s="1"/>
  <c r="A54" i="1"/>
  <c r="BC15" i="1"/>
  <c r="AY15" i="1"/>
  <c r="AQ15" i="1"/>
  <c r="AM15" i="1"/>
  <c r="K15" i="1"/>
  <c r="G15" i="1"/>
  <c r="C15" i="1"/>
  <c r="AY14" i="1"/>
  <c r="AQ14" i="1"/>
  <c r="O14" i="1"/>
  <c r="G14" i="1"/>
  <c r="C14" i="1"/>
  <c r="BC13" i="1"/>
  <c r="AM13" i="1"/>
  <c r="AA13" i="1"/>
  <c r="O13" i="1"/>
  <c r="G13" i="1"/>
  <c r="C13" i="1"/>
  <c r="AY12" i="1"/>
  <c r="AM12" i="1"/>
  <c r="AA12" i="1"/>
  <c r="O12" i="1"/>
  <c r="K12" i="1"/>
  <c r="G12" i="1"/>
  <c r="BG11" i="1"/>
  <c r="BC11" i="1"/>
  <c r="AM11" i="1"/>
  <c r="K11" i="1"/>
  <c r="BG10" i="1"/>
  <c r="BC10" i="1"/>
  <c r="AY10" i="1"/>
  <c r="AQ10" i="1"/>
  <c r="AM10" i="1"/>
  <c r="AA10" i="1"/>
  <c r="G10" i="1"/>
  <c r="BG9" i="1"/>
  <c r="AY9" i="1"/>
  <c r="AQ9" i="1"/>
  <c r="AM9" i="1"/>
  <c r="O9" i="1"/>
  <c r="K9" i="1"/>
  <c r="G9" i="1"/>
  <c r="BG8" i="1"/>
  <c r="AY8" i="1"/>
  <c r="AQ8" i="1"/>
  <c r="AM8" i="1"/>
  <c r="AA8" i="1"/>
  <c r="G8" i="1"/>
  <c r="BG7" i="1"/>
  <c r="BC7" i="1"/>
  <c r="AY7" i="1"/>
  <c r="AM7" i="1"/>
  <c r="AA7" i="1"/>
  <c r="O7" i="1"/>
  <c r="K7" i="1"/>
  <c r="K17" i="1" s="1"/>
  <c r="F65" i="1" s="1"/>
  <c r="G7" i="1"/>
  <c r="G6" i="1"/>
  <c r="AQ5" i="1"/>
  <c r="AM5" i="1"/>
  <c r="AA5" i="1"/>
  <c r="G5" i="1"/>
  <c r="AQ4" i="1"/>
  <c r="BG3" i="1"/>
  <c r="BC3" i="1"/>
  <c r="AM3" i="1"/>
  <c r="AA3" i="1"/>
  <c r="O3" i="1"/>
  <c r="G17" i="1" l="1"/>
  <c r="F64" i="1" s="1"/>
  <c r="AA17" i="1"/>
  <c r="G54" i="1"/>
  <c r="BG17" i="1"/>
  <c r="AY17" i="1"/>
  <c r="AM48" i="1"/>
  <c r="AM51" i="1"/>
  <c r="AM52" i="1"/>
  <c r="B54" i="1"/>
  <c r="AG54" i="1"/>
  <c r="AM17" i="1"/>
  <c r="AQ17" i="1"/>
  <c r="O17" i="1"/>
  <c r="G49" i="1"/>
  <c r="S17" i="1"/>
  <c r="F67" i="1" s="1"/>
  <c r="BC17" i="1"/>
  <c r="W17" i="1"/>
  <c r="F68" i="1" s="1"/>
  <c r="K51" i="1"/>
  <c r="C53" i="1"/>
  <c r="D53" i="1" s="1"/>
  <c r="A43" i="1"/>
  <c r="A47" i="1"/>
  <c r="A51" i="1"/>
  <c r="A44" i="1"/>
  <c r="A48" i="1"/>
  <c r="A52" i="1"/>
  <c r="A45" i="1"/>
  <c r="A49" i="1"/>
  <c r="A53" i="1"/>
  <c r="A42" i="1"/>
  <c r="A46" i="1"/>
  <c r="A50" i="1"/>
  <c r="AA42" i="1" l="1"/>
  <c r="AB42" i="1" s="1"/>
  <c r="F69" i="1"/>
  <c r="O48" i="1"/>
  <c r="F66" i="1"/>
  <c r="AA46" i="1"/>
  <c r="AC46" i="1" s="1"/>
  <c r="AQ43" i="1"/>
  <c r="AR43" i="1" s="1"/>
  <c r="F73" i="1"/>
  <c r="AA49" i="1"/>
  <c r="AA51" i="1"/>
  <c r="AM46" i="1"/>
  <c r="F72" i="1"/>
  <c r="AA52" i="1"/>
  <c r="AC52" i="1" s="1"/>
  <c r="BG46" i="1"/>
  <c r="BH46" i="1" s="1"/>
  <c r="F77" i="1"/>
  <c r="BC50" i="1"/>
  <c r="BD50" i="1" s="1"/>
  <c r="F76" i="1"/>
  <c r="AY48" i="1"/>
  <c r="BA48" i="1" s="1"/>
  <c r="F75" i="1"/>
  <c r="G47" i="1"/>
  <c r="H47" i="1" s="1"/>
  <c r="K48" i="1"/>
  <c r="L48" i="1" s="1"/>
  <c r="O42" i="1"/>
  <c r="BC46" i="1"/>
  <c r="BE46" i="1" s="1"/>
  <c r="BC52" i="1"/>
  <c r="BE52" i="1" s="1"/>
  <c r="AM49" i="1"/>
  <c r="AN49" i="1" s="1"/>
  <c r="P48" i="1"/>
  <c r="Q48" i="1"/>
  <c r="M51" i="1"/>
  <c r="L51" i="1"/>
  <c r="AZ48" i="1"/>
  <c r="AS43" i="1"/>
  <c r="AN46" i="1"/>
  <c r="AO46" i="1"/>
  <c r="AG49" i="1"/>
  <c r="AO52" i="1"/>
  <c r="AN52" i="1"/>
  <c r="AN51" i="1"/>
  <c r="AO51" i="1"/>
  <c r="BG50" i="1"/>
  <c r="AO48" i="1"/>
  <c r="AN48" i="1"/>
  <c r="M48" i="1"/>
  <c r="AC42" i="1"/>
  <c r="AG46" i="1"/>
  <c r="AG51" i="1"/>
  <c r="G42" i="1"/>
  <c r="G50" i="1"/>
  <c r="G43" i="1"/>
  <c r="AC51" i="1"/>
  <c r="AB51" i="1"/>
  <c r="AQ48" i="1"/>
  <c r="AB46" i="1"/>
  <c r="AQ44" i="1"/>
  <c r="AB49" i="1"/>
  <c r="AC49" i="1"/>
  <c r="BC54" i="1"/>
  <c r="K50" i="1"/>
  <c r="BG47" i="1"/>
  <c r="O46" i="1"/>
  <c r="O53" i="1"/>
  <c r="AA54" i="1"/>
  <c r="AA50" i="1"/>
  <c r="AA53" i="1"/>
  <c r="AA45" i="1"/>
  <c r="AA43" i="1"/>
  <c r="AA48" i="1"/>
  <c r="AG44" i="1"/>
  <c r="H49" i="1"/>
  <c r="I49" i="1"/>
  <c r="Q42" i="1"/>
  <c r="P42" i="1"/>
  <c r="AY45" i="1"/>
  <c r="AY43" i="1"/>
  <c r="AY42" i="1"/>
  <c r="AY44" i="1"/>
  <c r="AY50" i="1"/>
  <c r="I54" i="1"/>
  <c r="H54" i="1"/>
  <c r="AO49" i="1"/>
  <c r="I47" i="1"/>
  <c r="K42" i="1"/>
  <c r="K53" i="1"/>
  <c r="K49" i="1"/>
  <c r="K45" i="1"/>
  <c r="K47" i="1"/>
  <c r="K52" i="1"/>
  <c r="K44" i="1"/>
  <c r="K43" i="1"/>
  <c r="B42" i="1"/>
  <c r="AG42" i="1"/>
  <c r="AG52" i="1"/>
  <c r="AG47" i="1"/>
  <c r="AM53" i="1"/>
  <c r="AM45" i="1"/>
  <c r="AM43" i="1"/>
  <c r="AM54" i="1"/>
  <c r="AN54" i="1" s="1"/>
  <c r="AM50" i="1"/>
  <c r="G48" i="1"/>
  <c r="G45" i="1"/>
  <c r="AM42" i="1"/>
  <c r="AQ47" i="1"/>
  <c r="K54" i="1"/>
  <c r="AY51" i="1"/>
  <c r="AQ49" i="1"/>
  <c r="AA47" i="1"/>
  <c r="G51" i="1"/>
  <c r="BC42" i="1"/>
  <c r="AY52" i="1"/>
  <c r="K46" i="1"/>
  <c r="G53" i="1"/>
  <c r="AG50" i="1"/>
  <c r="AQ51" i="1"/>
  <c r="AQ42" i="1"/>
  <c r="AQ50" i="1"/>
  <c r="AQ46" i="1"/>
  <c r="AQ45" i="1"/>
  <c r="AQ52" i="1"/>
  <c r="BG54" i="1"/>
  <c r="BG51" i="1"/>
  <c r="BG53" i="1"/>
  <c r="BG45" i="1"/>
  <c r="BG52" i="1"/>
  <c r="BG43" i="1"/>
  <c r="BG44" i="1"/>
  <c r="AG45" i="1"/>
  <c r="E53" i="1"/>
  <c r="AG53" i="1"/>
  <c r="AG48" i="1"/>
  <c r="AG43" i="1"/>
  <c r="BC51" i="1"/>
  <c r="BC47" i="1"/>
  <c r="BC45" i="1"/>
  <c r="BC53" i="1"/>
  <c r="BC48" i="1"/>
  <c r="BC44" i="1"/>
  <c r="BC43" i="1"/>
  <c r="O49" i="1"/>
  <c r="O45" i="1"/>
  <c r="O44" i="1"/>
  <c r="O54" i="1"/>
  <c r="O47" i="1"/>
  <c r="O43" i="1"/>
  <c r="O50" i="1"/>
  <c r="AY53" i="1"/>
  <c r="AY49" i="1"/>
  <c r="AM47" i="1"/>
  <c r="AN47" i="1" s="1"/>
  <c r="G44" i="1"/>
  <c r="AQ54" i="1"/>
  <c r="G46" i="1"/>
  <c r="AQ53" i="1"/>
  <c r="O51" i="1"/>
  <c r="BG48" i="1"/>
  <c r="AY46" i="1"/>
  <c r="BG42" i="1"/>
  <c r="BC49" i="1"/>
  <c r="AY54" i="1"/>
  <c r="O52" i="1"/>
  <c r="BG49" i="1"/>
  <c r="AY47" i="1"/>
  <c r="AM44" i="1"/>
  <c r="G52" i="1"/>
  <c r="AA44" i="1"/>
  <c r="C48" i="1"/>
  <c r="D48" i="1" s="1"/>
  <c r="B46" i="1"/>
  <c r="B45" i="1"/>
  <c r="B51" i="1"/>
  <c r="B52" i="1"/>
  <c r="B47" i="1"/>
  <c r="B53" i="1"/>
  <c r="B48" i="1"/>
  <c r="B43" i="1"/>
  <c r="B50" i="1"/>
  <c r="B49" i="1"/>
  <c r="B44" i="1"/>
  <c r="C49" i="1"/>
  <c r="D49" i="1" s="1"/>
  <c r="C45" i="1"/>
  <c r="D45" i="1" s="1"/>
  <c r="C52" i="1"/>
  <c r="D52" i="1" s="1"/>
  <c r="C44" i="1"/>
  <c r="D44" i="1" s="1"/>
  <c r="C51" i="1"/>
  <c r="D51" i="1" s="1"/>
  <c r="C47" i="1"/>
  <c r="D47" i="1" s="1"/>
  <c r="C43" i="1"/>
  <c r="D43" i="1" s="1"/>
  <c r="C54" i="1"/>
  <c r="E54" i="1" s="1"/>
  <c r="C50" i="1"/>
  <c r="D50" i="1" s="1"/>
  <c r="C46" i="1"/>
  <c r="D46" i="1" s="1"/>
  <c r="C42" i="1"/>
  <c r="D42" i="1" s="1"/>
  <c r="AB52" i="1" l="1"/>
  <c r="BI46" i="1"/>
  <c r="BD52" i="1"/>
  <c r="BE50" i="1"/>
  <c r="BD46" i="1"/>
  <c r="E43" i="1"/>
  <c r="E42" i="1"/>
  <c r="BI48" i="1"/>
  <c r="BH48" i="1"/>
  <c r="Q54" i="1"/>
  <c r="P54" i="1"/>
  <c r="AR49" i="1"/>
  <c r="AS49" i="1"/>
  <c r="AO54" i="1"/>
  <c r="M52" i="1"/>
  <c r="L52" i="1"/>
  <c r="BA45" i="1"/>
  <c r="AZ45" i="1"/>
  <c r="AC43" i="1"/>
  <c r="AB43" i="1"/>
  <c r="Q46" i="1"/>
  <c r="P46" i="1"/>
  <c r="AS44" i="1"/>
  <c r="AR44" i="1"/>
  <c r="E46" i="1"/>
  <c r="BA47" i="1"/>
  <c r="AZ47" i="1"/>
  <c r="BE49" i="1"/>
  <c r="BD49" i="1"/>
  <c r="Q51" i="1"/>
  <c r="P51" i="1"/>
  <c r="H44" i="1"/>
  <c r="I44" i="1"/>
  <c r="Q50" i="1"/>
  <c r="P50" i="1"/>
  <c r="P44" i="1"/>
  <c r="Q44" i="1"/>
  <c r="BE44" i="1"/>
  <c r="BD44" i="1"/>
  <c r="BD47" i="1"/>
  <c r="BE47" i="1"/>
  <c r="BI44" i="1"/>
  <c r="BH44" i="1"/>
  <c r="BH53" i="1"/>
  <c r="BI53" i="1"/>
  <c r="AR50" i="1"/>
  <c r="AS50" i="1"/>
  <c r="E50" i="1"/>
  <c r="BD42" i="1"/>
  <c r="BE42" i="1"/>
  <c r="BA51" i="1"/>
  <c r="AZ51" i="1"/>
  <c r="I45" i="1"/>
  <c r="H45" i="1"/>
  <c r="AO43" i="1"/>
  <c r="AN43" i="1"/>
  <c r="B55" i="1"/>
  <c r="M47" i="1"/>
  <c r="L47" i="1"/>
  <c r="M42" i="1"/>
  <c r="L42" i="1"/>
  <c r="BA44" i="1"/>
  <c r="AZ44" i="1"/>
  <c r="AC45" i="1"/>
  <c r="AB45" i="1"/>
  <c r="BI47" i="1"/>
  <c r="BH47" i="1"/>
  <c r="BD54" i="1"/>
  <c r="BE54" i="1"/>
  <c r="BI50" i="1"/>
  <c r="BH50" i="1"/>
  <c r="AO44" i="1"/>
  <c r="AN44" i="1"/>
  <c r="AR54" i="1"/>
  <c r="AS54" i="1"/>
  <c r="BD43" i="1"/>
  <c r="BE43" i="1"/>
  <c r="AR46" i="1"/>
  <c r="AS46" i="1"/>
  <c r="AN42" i="1"/>
  <c r="AO42" i="1"/>
  <c r="M53" i="1"/>
  <c r="L53" i="1"/>
  <c r="BA50" i="1"/>
  <c r="AZ50" i="1"/>
  <c r="AC54" i="1"/>
  <c r="AB54" i="1"/>
  <c r="I42" i="1"/>
  <c r="H42" i="1"/>
  <c r="AC44" i="1"/>
  <c r="AB44" i="1"/>
  <c r="BH49" i="1"/>
  <c r="BI49" i="1"/>
  <c r="BH42" i="1"/>
  <c r="BI42" i="1"/>
  <c r="AS53" i="1"/>
  <c r="AR53" i="1"/>
  <c r="AO47" i="1"/>
  <c r="Q43" i="1"/>
  <c r="P43" i="1"/>
  <c r="Q45" i="1"/>
  <c r="P45" i="1"/>
  <c r="BE48" i="1"/>
  <c r="BD48" i="1"/>
  <c r="BD51" i="1"/>
  <c r="BE51" i="1"/>
  <c r="E48" i="1"/>
  <c r="E45" i="1"/>
  <c r="BI43" i="1"/>
  <c r="BH43" i="1"/>
  <c r="BI51" i="1"/>
  <c r="BH51" i="1"/>
  <c r="AS52" i="1"/>
  <c r="AR52" i="1"/>
  <c r="AS42" i="1"/>
  <c r="AR42" i="1"/>
  <c r="H53" i="1"/>
  <c r="I53" i="1"/>
  <c r="I51" i="1"/>
  <c r="H51" i="1"/>
  <c r="M54" i="1"/>
  <c r="L54" i="1"/>
  <c r="H48" i="1"/>
  <c r="I48" i="1"/>
  <c r="AO45" i="1"/>
  <c r="AN45" i="1"/>
  <c r="E52" i="1"/>
  <c r="M43" i="1"/>
  <c r="L43" i="1"/>
  <c r="M45" i="1"/>
  <c r="L45" i="1"/>
  <c r="BA42" i="1"/>
  <c r="AZ42" i="1"/>
  <c r="E44" i="1"/>
  <c r="AC53" i="1"/>
  <c r="AB53" i="1"/>
  <c r="Q53" i="1"/>
  <c r="P53" i="1"/>
  <c r="M50" i="1"/>
  <c r="L50" i="1"/>
  <c r="I43" i="1"/>
  <c r="H43" i="1"/>
  <c r="E51" i="1"/>
  <c r="BA54" i="1"/>
  <c r="AZ54" i="1"/>
  <c r="BA53" i="1"/>
  <c r="AZ53" i="1"/>
  <c r="BE45" i="1"/>
  <c r="BD45" i="1"/>
  <c r="BH45" i="1"/>
  <c r="BI45" i="1"/>
  <c r="AZ52" i="1"/>
  <c r="BA52" i="1"/>
  <c r="E47" i="1"/>
  <c r="H52" i="1"/>
  <c r="I52" i="1"/>
  <c r="P52" i="1"/>
  <c r="Q52" i="1"/>
  <c r="BA46" i="1"/>
  <c r="AZ46" i="1"/>
  <c r="I46" i="1"/>
  <c r="H46" i="1"/>
  <c r="BA49" i="1"/>
  <c r="AZ49" i="1"/>
  <c r="Q47" i="1"/>
  <c r="P47" i="1"/>
  <c r="P49" i="1"/>
  <c r="Q49" i="1"/>
  <c r="BE53" i="1"/>
  <c r="BD53" i="1"/>
  <c r="AG55" i="1"/>
  <c r="AG57" i="1" s="1"/>
  <c r="C70" i="1" s="1"/>
  <c r="BI52" i="1"/>
  <c r="BH52" i="1"/>
  <c r="BH54" i="1"/>
  <c r="BI54" i="1"/>
  <c r="AS45" i="1"/>
  <c r="AR45" i="1"/>
  <c r="AS51" i="1"/>
  <c r="AR51" i="1"/>
  <c r="M46" i="1"/>
  <c r="L46" i="1"/>
  <c r="AC47" i="1"/>
  <c r="AB47" i="1"/>
  <c r="AR47" i="1"/>
  <c r="AS47" i="1"/>
  <c r="AN50" i="1"/>
  <c r="AO50" i="1"/>
  <c r="AN53" i="1"/>
  <c r="AO53" i="1"/>
  <c r="M44" i="1"/>
  <c r="L44" i="1"/>
  <c r="M49" i="1"/>
  <c r="L49" i="1"/>
  <c r="AZ43" i="1"/>
  <c r="BA43" i="1"/>
  <c r="AC48" i="1"/>
  <c r="AB48" i="1"/>
  <c r="AB50" i="1"/>
  <c r="AC50" i="1"/>
  <c r="AR48" i="1"/>
  <c r="AS48" i="1"/>
  <c r="I50" i="1"/>
  <c r="H50" i="1"/>
  <c r="E49" i="1"/>
  <c r="D54" i="1"/>
  <c r="D55" i="1" s="1"/>
  <c r="D56" i="1" s="1"/>
  <c r="B63" i="1" s="1"/>
  <c r="K63" i="1" s="1"/>
  <c r="L63" i="1" s="1"/>
  <c r="B56" i="1" l="1"/>
  <c r="U59" i="1" s="1"/>
  <c r="D67" i="1" s="1"/>
  <c r="P55" i="1"/>
  <c r="P56" i="1" s="1"/>
  <c r="BI55" i="1"/>
  <c r="BI57" i="1" s="1"/>
  <c r="E55" i="1"/>
  <c r="E57" i="1" s="1"/>
  <c r="Q55" i="1"/>
  <c r="Q57" i="1" s="1"/>
  <c r="AC55" i="1"/>
  <c r="AC57" i="1" s="1"/>
  <c r="AZ55" i="1"/>
  <c r="AZ56" i="1" s="1"/>
  <c r="B75" i="1" s="1"/>
  <c r="K75" i="1" s="1"/>
  <c r="BH55" i="1"/>
  <c r="BH56" i="1" s="1"/>
  <c r="B77" i="1" s="1"/>
  <c r="K77" i="1" s="1"/>
  <c r="AO55" i="1"/>
  <c r="AO57" i="1" s="1"/>
  <c r="M55" i="1"/>
  <c r="M57" i="1" s="1"/>
  <c r="L55" i="1"/>
  <c r="L56" i="1" s="1"/>
  <c r="BD55" i="1"/>
  <c r="BD56" i="1" s="1"/>
  <c r="B76" i="1" s="1"/>
  <c r="K76" i="1" s="1"/>
  <c r="BA55" i="1"/>
  <c r="BA57" i="1" s="1"/>
  <c r="AR55" i="1"/>
  <c r="AR56" i="1" s="1"/>
  <c r="B73" i="1" s="1"/>
  <c r="K73" i="1" s="1"/>
  <c r="H55" i="1"/>
  <c r="H56" i="1" s="1"/>
  <c r="B64" i="1" s="1"/>
  <c r="K64" i="1" s="1"/>
  <c r="L64" i="1" s="1"/>
  <c r="L65" i="1" s="1"/>
  <c r="L66" i="1" s="1"/>
  <c r="L67" i="1" s="1"/>
  <c r="L68" i="1" s="1"/>
  <c r="L69" i="1" s="1"/>
  <c r="L70" i="1" s="1"/>
  <c r="L71" i="1" s="1"/>
  <c r="AN55" i="1"/>
  <c r="AN56" i="1" s="1"/>
  <c r="B72" i="1" s="1"/>
  <c r="K72" i="1" s="1"/>
  <c r="AS55" i="1"/>
  <c r="AS57" i="1" s="1"/>
  <c r="I55" i="1"/>
  <c r="I57" i="1" s="1"/>
  <c r="BE55" i="1"/>
  <c r="BE57" i="1" s="1"/>
  <c r="AB55" i="1"/>
  <c r="AB56" i="1" s="1"/>
  <c r="L72" i="1" l="1"/>
  <c r="L73" i="1" s="1"/>
  <c r="L74" i="1" s="1"/>
  <c r="L75" i="1" s="1"/>
  <c r="L76" i="1" s="1"/>
  <c r="L77" i="1" s="1"/>
  <c r="G67" i="1"/>
  <c r="I67" i="1"/>
  <c r="AK59" i="1"/>
  <c r="D71" i="1" s="1"/>
  <c r="AW59" i="1"/>
  <c r="D74" i="1" s="1"/>
  <c r="Y59" i="1"/>
  <c r="D68" i="1" s="1"/>
  <c r="Q59" i="1"/>
  <c r="D66" i="1" s="1"/>
  <c r="C66" i="1"/>
  <c r="AO59" i="1"/>
  <c r="D72" i="1" s="1"/>
  <c r="C72" i="1"/>
  <c r="AC59" i="1"/>
  <c r="D69" i="1" s="1"/>
  <c r="C69" i="1"/>
  <c r="AG59" i="1"/>
  <c r="D70" i="1" s="1"/>
  <c r="AS59" i="1"/>
  <c r="D73" i="1" s="1"/>
  <c r="C73" i="1"/>
  <c r="C77" i="1"/>
  <c r="BI59" i="1"/>
  <c r="D77" i="1" s="1"/>
  <c r="BE59" i="1"/>
  <c r="D76" i="1" s="1"/>
  <c r="C76" i="1"/>
  <c r="BA59" i="1"/>
  <c r="D75" i="1" s="1"/>
  <c r="C75" i="1"/>
  <c r="M59" i="1"/>
  <c r="D65" i="1" s="1"/>
  <c r="C65" i="1"/>
  <c r="E59" i="1"/>
  <c r="D63" i="1" s="1"/>
  <c r="C63" i="1"/>
  <c r="I59" i="1"/>
  <c r="D64" i="1" s="1"/>
  <c r="C64" i="1"/>
  <c r="I64" i="1" l="1"/>
  <c r="G64" i="1"/>
  <c r="I69" i="1"/>
  <c r="G69" i="1"/>
  <c r="G63" i="1"/>
  <c r="I63" i="1"/>
  <c r="J63" i="1" s="1"/>
  <c r="M63" i="1" s="1"/>
  <c r="G65" i="1"/>
  <c r="I65" i="1"/>
  <c r="I76" i="1"/>
  <c r="G76" i="1"/>
  <c r="I72" i="1"/>
  <c r="I66" i="1"/>
  <c r="G75" i="1"/>
  <c r="I75" i="1"/>
  <c r="G73" i="1"/>
  <c r="I73" i="1"/>
  <c r="G68" i="1"/>
  <c r="I68" i="1"/>
  <c r="I70" i="1"/>
  <c r="I74" i="1"/>
  <c r="G74" i="1"/>
  <c r="G71" i="1"/>
  <c r="I71" i="1"/>
  <c r="I77" i="1"/>
  <c r="G77" i="1"/>
  <c r="J64" i="1" l="1"/>
  <c r="M64" i="1" s="1"/>
  <c r="J65" i="1" l="1"/>
  <c r="J66" i="1" l="1"/>
  <c r="M65" i="1"/>
  <c r="M66" i="1" l="1"/>
  <c r="J67" i="1"/>
  <c r="J68" i="1" l="1"/>
  <c r="M67" i="1"/>
  <c r="M68" i="1" l="1"/>
  <c r="J69" i="1"/>
  <c r="M69" i="1" l="1"/>
  <c r="J70" i="1"/>
  <c r="M70" i="1" l="1"/>
  <c r="J71" i="1"/>
  <c r="M71" i="1" l="1"/>
  <c r="J72" i="1"/>
  <c r="M72" i="1" l="1"/>
  <c r="J73" i="1"/>
  <c r="J74" i="1" l="1"/>
  <c r="M73" i="1"/>
  <c r="J75" i="1" l="1"/>
  <c r="M74" i="1"/>
  <c r="M75" i="1" l="1"/>
  <c r="J76" i="1"/>
  <c r="M76" i="1" l="1"/>
  <c r="J77" i="1"/>
  <c r="M77" i="1" s="1"/>
  <c r="N72" i="1"/>
  <c r="N73" i="1"/>
  <c r="N64" i="1"/>
  <c r="N69" i="1"/>
  <c r="N67" i="1"/>
  <c r="N66" i="1"/>
  <c r="B104" i="1"/>
  <c r="D104" i="1" s="1"/>
  <c r="B102" i="1"/>
  <c r="D102" i="1" s="1"/>
  <c r="B103" i="1"/>
  <c r="D103" i="1" s="1"/>
  <c r="N63" i="1"/>
  <c r="N76" i="1"/>
  <c r="N75" i="1"/>
  <c r="N71" i="1"/>
  <c r="N65" i="1"/>
  <c r="N77" i="1"/>
  <c r="N68" i="1"/>
  <c r="N74" i="1"/>
  <c r="B101" i="1"/>
  <c r="D101" i="1" s="1"/>
  <c r="N70" i="1"/>
  <c r="D105" i="1" l="1"/>
  <c r="E101" i="1" s="1"/>
  <c r="E104" i="1" l="1"/>
  <c r="E103" i="1"/>
  <c r="E102" i="1"/>
  <c r="E105" i="1"/>
</calcChain>
</file>

<file path=xl/sharedStrings.xml><?xml version="1.0" encoding="utf-8"?>
<sst xmlns="http://schemas.openxmlformats.org/spreadsheetml/2006/main" count="207" uniqueCount="117">
  <si>
    <t>Tata motors</t>
  </si>
  <si>
    <t>ICICI BANK</t>
  </si>
  <si>
    <t>Adani power</t>
  </si>
  <si>
    <t>Maruti Suzuki</t>
  </si>
  <si>
    <t>JSW Steel</t>
  </si>
  <si>
    <t>TVS motar company</t>
  </si>
  <si>
    <t>L&amp;T</t>
  </si>
  <si>
    <t>Bharti Airtel</t>
  </si>
  <si>
    <t>Infosys</t>
  </si>
  <si>
    <t>NTPC</t>
  </si>
  <si>
    <t>Hero Moto corp</t>
  </si>
  <si>
    <t>HUL</t>
  </si>
  <si>
    <t>Date</t>
  </si>
  <si>
    <t>Price</t>
  </si>
  <si>
    <t>Change %</t>
  </si>
  <si>
    <t>Price NIFTY 50</t>
  </si>
  <si>
    <t>MARKET RETURN</t>
  </si>
  <si>
    <t>TO CALCULATE MARKET RETURN</t>
  </si>
  <si>
    <t>RM-RM(MEAN)</t>
  </si>
  <si>
    <t>SQUARE</t>
  </si>
  <si>
    <t>RA-RA(MEAN) * RM-RM(MEAN)</t>
  </si>
  <si>
    <t>RA-RA(MEAN) SQUARE</t>
  </si>
  <si>
    <t>SUM</t>
  </si>
  <si>
    <t>C</t>
  </si>
  <si>
    <t>Zi</t>
  </si>
  <si>
    <t>mean</t>
  </si>
  <si>
    <t>RA-RA(MEAN) TATA MOTOR</t>
  </si>
  <si>
    <t>RB-RB(MEAN)SQUARE</t>
  </si>
  <si>
    <t>RB-RB(MEAN) * RM-RM(MEAN)</t>
  </si>
  <si>
    <t>RB-RB(MEAN) ICICI BANK</t>
  </si>
  <si>
    <t>RC-RC(MEAN)SQUARE</t>
  </si>
  <si>
    <t>RC-RC(MEAN) * RM-RM(MEAN)</t>
  </si>
  <si>
    <t>RC-RC(MEAN) ADANI POWER</t>
  </si>
  <si>
    <t>RD-RD(MEAN) MARUTI SUZUKI</t>
  </si>
  <si>
    <t>RD-RD(MEAN)SQUARE</t>
  </si>
  <si>
    <t>RD-RD(MEAN) * RM-RM(MEAN)</t>
  </si>
  <si>
    <t>RE-RE(MEAN)SQUARE</t>
  </si>
  <si>
    <t>RE-RE(MEAN) * RM-RM(MEAN)</t>
  </si>
  <si>
    <t>RF-RF(MEAN) * RM-RM(MEAN)</t>
  </si>
  <si>
    <t>RG-RG(MEAN) JSW STEEL</t>
  </si>
  <si>
    <t>RG-RG(MEAN)SQUARE</t>
  </si>
  <si>
    <t>RG-RG(MEAN) * RM-RM(MEAN)</t>
  </si>
  <si>
    <t>RH-RH(MEAN) TVS</t>
  </si>
  <si>
    <t>RH-RH(MEAN)SQUARE</t>
  </si>
  <si>
    <t>RH-RH(MEAN) * RM-RM(MEAN)</t>
  </si>
  <si>
    <t>RI-RI(MEAN) * RM-RM(MEAN)</t>
  </si>
  <si>
    <t>RJ-RJ(MEAN) Bharti Airtel</t>
  </si>
  <si>
    <t>RJ-RJ(MEAN)SQUARE</t>
  </si>
  <si>
    <t>RK-RK(MEAN) INFOSYS</t>
  </si>
  <si>
    <t>RK-RK(MEAN)SQUARE</t>
  </si>
  <si>
    <t>RJ-RJ(MEAN) * RM-RM(MEAN</t>
  </si>
  <si>
    <t>RK-RK(MEAN) * RM-RM(MEAN</t>
  </si>
  <si>
    <t>Rn-Rn(MEAN) NTPC</t>
  </si>
  <si>
    <t>Rn-Rn(MEAN)SQUARE</t>
  </si>
  <si>
    <t>Rn-Rn(MEAN) * RM-RM(MEAN</t>
  </si>
  <si>
    <t>R0-RO(MEAN) hero moto</t>
  </si>
  <si>
    <t>RO-RO(MEAN)SQUARE</t>
  </si>
  <si>
    <t>RO-RO(MEAN) * RM-RM(MEAN</t>
  </si>
  <si>
    <t>RP-RP(MEAN)HUL</t>
  </si>
  <si>
    <t>RP-RP(MEAN)SQUARE</t>
  </si>
  <si>
    <t>RP-RP(MEAN) * RM-RM(MEAN)</t>
  </si>
  <si>
    <t xml:space="preserve">COVARIANCE </t>
  </si>
  <si>
    <t>BETA</t>
  </si>
  <si>
    <t>Price CEAT</t>
  </si>
  <si>
    <t xml:space="preserve">CEAT </t>
  </si>
  <si>
    <t>Price BLKI</t>
  </si>
  <si>
    <t>BLKI</t>
  </si>
  <si>
    <t>RF-RF(MEAN) SQUARE</t>
  </si>
  <si>
    <t>RF-RF(MEAN) BLKI</t>
  </si>
  <si>
    <t>RE-RE(MEAN) CEAT</t>
  </si>
  <si>
    <t>Price MRF</t>
  </si>
  <si>
    <t>RI-RI(MEAN) SQUARE</t>
  </si>
  <si>
    <t>RI-RI(MEAN) mrf</t>
  </si>
  <si>
    <t>RL-RL(MEAN)</t>
  </si>
  <si>
    <t>RL-RL(MEAN)SQUARE</t>
  </si>
  <si>
    <t>VARIANCE</t>
  </si>
  <si>
    <t xml:space="preserve">STOCK </t>
  </si>
  <si>
    <t>COVARIANCE</t>
  </si>
  <si>
    <t xml:space="preserve">VARIANCE OF MARKET /SHARES  </t>
  </si>
  <si>
    <t>COVARIACE</t>
  </si>
  <si>
    <t>RISK FREE RETURN</t>
  </si>
  <si>
    <t xml:space="preserve">Ri - RF </t>
  </si>
  <si>
    <t>A (TATA MOTOR)</t>
  </si>
  <si>
    <t>B (ICICI BANK )</t>
  </si>
  <si>
    <t>C (ADANI POWER)</t>
  </si>
  <si>
    <t>D (MARUTI SUZUKI)</t>
  </si>
  <si>
    <t>E (CEAT)</t>
  </si>
  <si>
    <t>F (BLKI)</t>
  </si>
  <si>
    <t>G (JSW STEEL)</t>
  </si>
  <si>
    <t>H ( TVS MOTARS)</t>
  </si>
  <si>
    <t>I ( L &amp; T )</t>
  </si>
  <si>
    <t>P (HUL)</t>
  </si>
  <si>
    <t>O (HERO MOTO CORP)</t>
  </si>
  <si>
    <t>N  (NTPC)</t>
  </si>
  <si>
    <t>L (VIAZ TYRES)</t>
  </si>
  <si>
    <t>K (INFOSYS)</t>
  </si>
  <si>
    <t>J (BHARTI AIRTEL)</t>
  </si>
  <si>
    <t>Excess Return to Beta Ratio (Ri - RF)/ Beta</t>
  </si>
  <si>
    <t>BETA^2</t>
  </si>
  <si>
    <t xml:space="preserve">BETA^2 * Market Varience( Systematics Risk) </t>
  </si>
  <si>
    <t>Unsystematic Risk</t>
  </si>
  <si>
    <t>(Ri - Rf) * Beta/Unsystematic Risk</t>
  </si>
  <si>
    <t>Cf</t>
  </si>
  <si>
    <t>BETA^2/ VARIENCE OF STOCK</t>
  </si>
  <si>
    <t>Criteria</t>
  </si>
  <si>
    <t>Custruction of an optimal Portfolio</t>
  </si>
  <si>
    <t>(ADANI POWER)</t>
  </si>
  <si>
    <t>(ICICI BANK )</t>
  </si>
  <si>
    <t>(BHARTI AIRTEL)</t>
  </si>
  <si>
    <t>(VIAZ TYRES)</t>
  </si>
  <si>
    <t>((RI-RF)/BETA)-C</t>
  </si>
  <si>
    <t>BETA/UNSYSTEMETIC RISK</t>
  </si>
  <si>
    <t>Z</t>
  </si>
  <si>
    <t xml:space="preserve">Price </t>
  </si>
  <si>
    <t>VIAZ Tyre</t>
  </si>
  <si>
    <t>Rank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</si>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</sst>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mm\-dd\-yyyy"/>
    <numFmt numFmtId="165" formatCode="0.000%"/>
    <numFmt numFmtId="166" formatCode="0.0"/>
    <numFmt numFmtId="167" formatCode="0.0000%"/>
    <numFmt numFmtId="168" formatCode="0.000000000000000000%"/>
    <numFmt numFmtId="169" formatCode="0.00000000000000000%"/>
    <numFmt numFmtId="170" formatCode="0.0000000"/>
    <numFmt numFmtId="171" formatCode="0.00000000"/>
    <numFmt numFmtId="172" formatCode="0.0000000000"/>
    <numFmt numFmtId="173" formatCode="0.00000000%"/>
    <numFmt numFmtId="174" formatCode="0.000000000"/>
    <numFmt numFmtId="175" formatCode="0.000000"/>
    <numFmt numFmtId="176" formatCode="0.0000"/>
    <numFmt numFmtId="177" formatCode="0.000"/>
  </numFmts>
  <fonts count="19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0"/>
      <color rgb="FF000000"/>
      <name val="Arial"/>
      <family val="2"/>
    </font>
    <font>
      <b/>
      <sz val="10"/>
      <color rgb="FF000000"/>
      <name val="Arial"/>
      <family val="2"/>
      <scheme val="minor"/>
    </font>
    <font>
      <b/>
      <sz val="10"/>
      <color rgb="FF000000"/>
      <name val="Inherit"/>
    </font>
    <font>
      <sz val="10"/>
      <color rgb="FF000000"/>
      <name val="Arial"/>
      <family val="2"/>
      <scheme val="minor"/>
    </font>
    <font>
      <sz val="10"/>
      <color rgb="FF000000"/>
      <name val="Inter"/>
    </font>
    <font>
      <b/>
      <sz val="10"/>
      <color rgb="FF000000"/>
      <name val="Inter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0"/>
      <name val="Arial"/>
      <family val="2"/>
      <scheme val="minor"/>
    </font>
    <font>
      <b/>
      <sz val="10"/>
      <name val="Inherit"/>
    </font>
    <font>
      <sz val="10"/>
      <name val="Inter"/>
    </font>
    <font>
      <b/>
      <sz val="10"/>
      <name val="Segoe UI"/>
      <family val="2"/>
    </font>
    <font>
      <sz val="10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FFFFF"/>
        <bgColor rgb="FFF5F5F5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0" fontId="12" fillId="8" borderId="0" applyNumberFormat="0" applyBorder="0" applyAlignment="0" applyProtection="0"/>
    <xf numFmtId="0" fontId="13" fillId="9" borderId="2" applyNumberFormat="0" applyAlignment="0" applyProtection="0"/>
    <xf numFmtId="0" fontId="11" fillId="10" borderId="3" applyNumberFormat="0" applyFont="0" applyAlignment="0" applyProtection="0"/>
    <xf numFmtId="0" fontId="1" fillId="11" borderId="0" applyNumberFormat="0" applyBorder="0" applyAlignment="0" applyProtection="0"/>
  </cellStyleXfs>
  <cellXfs count="158">
    <xf numFmtId="0" fontId="0" fillId="0" borderId="0" xfId="0" applyFont="1" applyAlignment="1"/>
    <xf numFmtId="0" fontId="0" fillId="5" borderId="0" xfId="0" applyFont="1" applyFill="1" applyBorder="1"/>
    <xf numFmtId="0" fontId="5" fillId="5" borderId="0" xfId="0" applyFont="1" applyFill="1" applyBorder="1"/>
    <xf numFmtId="0" fontId="0" fillId="5" borderId="0" xfId="0" applyFont="1" applyFill="1" applyBorder="1" applyAlignment="1"/>
    <xf numFmtId="0" fontId="5" fillId="5" borderId="0" xfId="0" applyFont="1" applyFill="1"/>
    <xf numFmtId="0" fontId="0" fillId="5" borderId="0" xfId="0" applyFont="1" applyFill="1"/>
    <xf numFmtId="0" fontId="0" fillId="5" borderId="0" xfId="0" applyFont="1" applyFill="1" applyAlignment="1"/>
    <xf numFmtId="0" fontId="8" fillId="5" borderId="0" xfId="0" applyFont="1" applyFill="1" applyAlignment="1"/>
    <xf numFmtId="4" fontId="0" fillId="0" borderId="1" xfId="0" applyNumberFormat="1" applyBorder="1" applyAlignment="1">
      <alignment horizontal="center"/>
    </xf>
    <xf numFmtId="176" fontId="5" fillId="0" borderId="1" xfId="0" applyNumberFormat="1" applyFont="1" applyBorder="1" applyAlignment="1">
      <alignment horizontal="center" vertical="top"/>
    </xf>
    <xf numFmtId="176" fontId="5" fillId="4" borderId="1" xfId="0" applyNumberFormat="1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12" fillId="8" borderId="1" xfId="2" applyBorder="1" applyAlignment="1">
      <alignment horizontal="center"/>
    </xf>
    <xf numFmtId="0" fontId="3" fillId="10" borderId="3" xfId="4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4" fillId="0" borderId="1" xfId="0" applyFont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1" fillId="11" borderId="1" xfId="5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3" fillId="9" borderId="2" xfId="3" applyAlignment="1">
      <alignment horizontal="center"/>
    </xf>
    <xf numFmtId="0" fontId="4" fillId="5" borderId="0" xfId="0" applyFont="1" applyFill="1" applyAlignment="1">
      <alignment horizontal="center"/>
    </xf>
    <xf numFmtId="0" fontId="0" fillId="5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5" fillId="5" borderId="0" xfId="0" applyFont="1" applyFill="1" applyAlignment="1">
      <alignment horizontal="center"/>
    </xf>
    <xf numFmtId="0" fontId="4" fillId="10" borderId="3" xfId="4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4" fontId="6" fillId="2" borderId="0" xfId="0" applyNumberFormat="1" applyFont="1" applyFill="1" applyAlignment="1">
      <alignment horizontal="center"/>
    </xf>
    <xf numFmtId="0" fontId="6" fillId="2" borderId="1" xfId="0" applyFont="1" applyFill="1" applyBorder="1" applyAlignment="1">
      <alignment horizontal="center"/>
    </xf>
    <xf numFmtId="10" fontId="7" fillId="2" borderId="1" xfId="0" applyNumberFormat="1" applyFont="1" applyFill="1" applyBorder="1" applyAlignment="1">
      <alignment horizontal="center"/>
    </xf>
    <xf numFmtId="164" fontId="12" fillId="8" borderId="1" xfId="2" applyNumberFormat="1" applyBorder="1" applyAlignment="1">
      <alignment horizontal="center"/>
    </xf>
    <xf numFmtId="4" fontId="12" fillId="8" borderId="1" xfId="2" applyNumberFormat="1" applyBorder="1" applyAlignment="1">
      <alignment horizontal="center"/>
    </xf>
    <xf numFmtId="10" fontId="12" fillId="8" borderId="1" xfId="2" applyNumberFormat="1" applyBorder="1" applyAlignment="1">
      <alignment horizontal="center"/>
    </xf>
    <xf numFmtId="164" fontId="6" fillId="10" borderId="3" xfId="4" applyNumberFormat="1" applyFont="1" applyAlignment="1">
      <alignment horizontal="center"/>
    </xf>
    <xf numFmtId="0" fontId="6" fillId="10" borderId="3" xfId="4" applyFont="1" applyAlignment="1">
      <alignment horizontal="center"/>
    </xf>
    <xf numFmtId="10" fontId="7" fillId="10" borderId="3" xfId="4" applyNumberFormat="1" applyFont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4" fontId="6" fillId="2" borderId="1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1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6" fillId="5" borderId="0" xfId="0" applyNumberFormat="1" applyFont="1" applyFill="1" applyAlignment="1">
      <alignment horizontal="center"/>
    </xf>
    <xf numFmtId="164" fontId="16" fillId="0" borderId="1" xfId="0" applyNumberFormat="1" applyFont="1" applyBorder="1" applyAlignment="1">
      <alignment horizontal="center"/>
    </xf>
    <xf numFmtId="4" fontId="16" fillId="2" borderId="1" xfId="0" applyNumberFormat="1" applyFont="1" applyFill="1" applyBorder="1" applyAlignment="1">
      <alignment horizontal="center"/>
    </xf>
    <xf numFmtId="10" fontId="17" fillId="5" borderId="1" xfId="0" applyNumberFormat="1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/>
    </xf>
    <xf numFmtId="4" fontId="0" fillId="5" borderId="1" xfId="0" applyNumberFormat="1" applyFill="1" applyBorder="1" applyAlignment="1">
      <alignment horizontal="center"/>
    </xf>
    <xf numFmtId="10" fontId="0" fillId="5" borderId="1" xfId="0" applyNumberFormat="1" applyFill="1" applyBorder="1" applyAlignment="1">
      <alignment horizontal="center"/>
    </xf>
    <xf numFmtId="164" fontId="1" fillId="11" borderId="1" xfId="5" applyNumberFormat="1" applyBorder="1" applyAlignment="1">
      <alignment horizontal="center"/>
    </xf>
    <xf numFmtId="4" fontId="1" fillId="11" borderId="1" xfId="5" applyNumberFormat="1" applyBorder="1" applyAlignment="1">
      <alignment horizontal="center"/>
    </xf>
    <xf numFmtId="10" fontId="1" fillId="11" borderId="1" xfId="5" applyNumberFormat="1" applyBorder="1" applyAlignment="1">
      <alignment horizontal="center"/>
    </xf>
    <xf numFmtId="10" fontId="7" fillId="2" borderId="0" xfId="0" applyNumberFormat="1" applyFont="1" applyFill="1" applyAlignment="1">
      <alignment horizontal="center"/>
    </xf>
    <xf numFmtId="164" fontId="13" fillId="9" borderId="2" xfId="3" applyNumberFormat="1" applyAlignment="1">
      <alignment horizontal="center"/>
    </xf>
    <xf numFmtId="10" fontId="13" fillId="9" borderId="2" xfId="3" applyNumberFormat="1" applyAlignment="1">
      <alignment horizontal="center"/>
    </xf>
    <xf numFmtId="4" fontId="7" fillId="2" borderId="1" xfId="0" applyNumberFormat="1" applyFont="1" applyFill="1" applyBorder="1" applyAlignment="1">
      <alignment horizontal="center"/>
    </xf>
    <xf numFmtId="4" fontId="16" fillId="3" borderId="1" xfId="0" applyNumberFormat="1" applyFont="1" applyFill="1" applyBorder="1" applyAlignment="1">
      <alignment horizontal="center"/>
    </xf>
    <xf numFmtId="10" fontId="17" fillId="6" borderId="1" xfId="0" applyNumberFormat="1" applyFont="1" applyFill="1" applyBorder="1" applyAlignment="1">
      <alignment horizontal="center" vertical="center"/>
    </xf>
    <xf numFmtId="4" fontId="6" fillId="3" borderId="1" xfId="0" applyNumberFormat="1" applyFont="1" applyFill="1" applyBorder="1" applyAlignment="1">
      <alignment horizontal="center"/>
    </xf>
    <xf numFmtId="10" fontId="7" fillId="3" borderId="1" xfId="0" applyNumberFormat="1" applyFont="1" applyFill="1" applyBorder="1" applyAlignment="1">
      <alignment horizontal="center"/>
    </xf>
    <xf numFmtId="10" fontId="7" fillId="12" borderId="0" xfId="0" applyNumberFormat="1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5" fillId="10" borderId="3" xfId="4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5" borderId="0" xfId="0" applyFont="1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10" fontId="8" fillId="0" borderId="1" xfId="0" applyNumberFormat="1" applyFont="1" applyBorder="1" applyAlignment="1">
      <alignment horizontal="center"/>
    </xf>
    <xf numFmtId="10" fontId="5" fillId="5" borderId="0" xfId="0" applyNumberFormat="1" applyFont="1" applyFill="1" applyAlignment="1">
      <alignment horizontal="center"/>
    </xf>
    <xf numFmtId="10" fontId="5" fillId="10" borderId="3" xfId="4" applyNumberFormat="1" applyFont="1" applyAlignment="1">
      <alignment horizontal="center"/>
    </xf>
    <xf numFmtId="10" fontId="5" fillId="0" borderId="1" xfId="0" applyNumberFormat="1" applyFont="1" applyBorder="1" applyAlignment="1">
      <alignment horizontal="center"/>
    </xf>
    <xf numFmtId="10" fontId="5" fillId="0" borderId="0" xfId="0" applyNumberFormat="1" applyFont="1" applyAlignment="1">
      <alignment horizontal="center"/>
    </xf>
    <xf numFmtId="10" fontId="5" fillId="5" borderId="0" xfId="0" applyNumberFormat="1" applyFont="1" applyFill="1" applyBorder="1" applyAlignment="1">
      <alignment horizontal="center"/>
    </xf>
    <xf numFmtId="10" fontId="18" fillId="0" borderId="1" xfId="0" applyNumberFormat="1" applyFont="1" applyBorder="1" applyAlignment="1">
      <alignment horizontal="center"/>
    </xf>
    <xf numFmtId="10" fontId="5" fillId="5" borderId="1" xfId="0" applyNumberFormat="1" applyFont="1" applyFill="1" applyBorder="1" applyAlignment="1">
      <alignment horizontal="center"/>
    </xf>
    <xf numFmtId="10" fontId="0" fillId="5" borderId="0" xfId="0" applyNumberFormat="1" applyFont="1" applyFill="1" applyAlignment="1">
      <alignment horizontal="center"/>
    </xf>
    <xf numFmtId="0" fontId="8" fillId="5" borderId="0" xfId="0" applyFont="1" applyFill="1" applyAlignment="1">
      <alignment horizontal="center"/>
    </xf>
    <xf numFmtId="10" fontId="8" fillId="5" borderId="0" xfId="0" applyNumberFormat="1" applyFont="1" applyFill="1" applyAlignment="1">
      <alignment horizontal="center"/>
    </xf>
    <xf numFmtId="0" fontId="9" fillId="5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9" fillId="0" borderId="10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0" fontId="10" fillId="5" borderId="0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/>
    </xf>
    <xf numFmtId="10" fontId="0" fillId="0" borderId="1" xfId="1" applyNumberFormat="1" applyFont="1" applyFill="1" applyBorder="1" applyAlignment="1">
      <alignment horizontal="center"/>
    </xf>
    <xf numFmtId="10" fontId="10" fillId="0" borderId="1" xfId="1" applyNumberFormat="1" applyFont="1" applyFill="1" applyBorder="1" applyAlignment="1">
      <alignment horizontal="center"/>
    </xf>
    <xf numFmtId="165" fontId="8" fillId="0" borderId="11" xfId="0" applyNumberFormat="1" applyFont="1" applyBorder="1" applyAlignment="1">
      <alignment horizontal="center"/>
    </xf>
    <xf numFmtId="10" fontId="10" fillId="0" borderId="5" xfId="0" applyNumberFormat="1" applyFont="1" applyBorder="1" applyAlignment="1">
      <alignment horizontal="center"/>
    </xf>
    <xf numFmtId="165" fontId="10" fillId="0" borderId="1" xfId="0" applyNumberFormat="1" applyFont="1" applyBorder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167" fontId="5" fillId="0" borderId="1" xfId="0" applyNumberFormat="1" applyFont="1" applyBorder="1" applyAlignment="1">
      <alignment horizontal="center"/>
    </xf>
    <xf numFmtId="10" fontId="5" fillId="0" borderId="1" xfId="0" applyNumberFormat="1" applyFont="1" applyFill="1" applyBorder="1" applyAlignment="1">
      <alignment horizontal="center"/>
    </xf>
    <xf numFmtId="165" fontId="5" fillId="0" borderId="1" xfId="0" applyNumberFormat="1" applyFont="1" applyFill="1" applyBorder="1" applyAlignment="1">
      <alignment horizontal="center"/>
    </xf>
    <xf numFmtId="173" fontId="0" fillId="0" borderId="1" xfId="1" applyNumberFormat="1" applyFont="1" applyBorder="1" applyAlignment="1">
      <alignment horizontal="center"/>
    </xf>
    <xf numFmtId="167" fontId="5" fillId="0" borderId="1" xfId="0" applyNumberFormat="1" applyFont="1" applyFill="1" applyBorder="1" applyAlignment="1">
      <alignment horizontal="center"/>
    </xf>
    <xf numFmtId="10" fontId="10" fillId="0" borderId="1" xfId="0" applyNumberFormat="1" applyFont="1" applyBorder="1" applyAlignment="1">
      <alignment horizontal="center"/>
    </xf>
    <xf numFmtId="168" fontId="5" fillId="5" borderId="0" xfId="0" applyNumberFormat="1" applyFont="1" applyFill="1" applyBorder="1" applyAlignment="1">
      <alignment horizontal="center"/>
    </xf>
    <xf numFmtId="10" fontId="0" fillId="0" borderId="1" xfId="0" applyNumberFormat="1" applyFont="1" applyBorder="1" applyAlignment="1">
      <alignment horizontal="center"/>
    </xf>
    <xf numFmtId="169" fontId="0" fillId="0" borderId="1" xfId="0" applyNumberFormat="1" applyFont="1" applyBorder="1" applyAlignment="1">
      <alignment horizontal="center"/>
    </xf>
    <xf numFmtId="168" fontId="0" fillId="0" borderId="1" xfId="0" applyNumberFormat="1" applyFont="1" applyBorder="1" applyAlignment="1">
      <alignment horizontal="center"/>
    </xf>
    <xf numFmtId="10" fontId="0" fillId="0" borderId="1" xfId="0" applyNumberFormat="1" applyFont="1" applyFill="1" applyBorder="1" applyAlignment="1">
      <alignment horizontal="center"/>
    </xf>
    <xf numFmtId="173" fontId="0" fillId="0" borderId="1" xfId="0" applyNumberFormat="1" applyBorder="1" applyAlignment="1">
      <alignment horizontal="center"/>
    </xf>
    <xf numFmtId="9" fontId="5" fillId="0" borderId="1" xfId="0" applyNumberFormat="1" applyFont="1" applyFill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10" fillId="0" borderId="1" xfId="0" applyNumberFormat="1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NumberFormat="1" applyFont="1" applyBorder="1" applyAlignment="1">
      <alignment horizontal="center"/>
    </xf>
    <xf numFmtId="170" fontId="0" fillId="0" borderId="1" xfId="0" applyNumberFormat="1" applyFont="1" applyFill="1" applyBorder="1" applyAlignment="1">
      <alignment horizontal="center"/>
    </xf>
    <xf numFmtId="0" fontId="0" fillId="0" borderId="1" xfId="0" applyNumberFormat="1" applyFont="1" applyFill="1" applyBorder="1" applyAlignment="1">
      <alignment horizontal="center"/>
    </xf>
    <xf numFmtId="170" fontId="5" fillId="0" borderId="1" xfId="0" applyNumberFormat="1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170" fontId="5" fillId="0" borderId="1" xfId="0" applyNumberFormat="1" applyFont="1" applyBorder="1" applyAlignment="1">
      <alignment horizontal="center"/>
    </xf>
    <xf numFmtId="172" fontId="5" fillId="0" borderId="1" xfId="0" applyNumberFormat="1" applyFont="1" applyFill="1" applyBorder="1" applyAlignment="1">
      <alignment horizontal="center"/>
    </xf>
    <xf numFmtId="0" fontId="8" fillId="5" borderId="0" xfId="0" applyFont="1" applyFill="1" applyBorder="1" applyAlignment="1">
      <alignment horizontal="center"/>
    </xf>
    <xf numFmtId="166" fontId="5" fillId="0" borderId="1" xfId="0" applyNumberFormat="1" applyFont="1" applyFill="1" applyBorder="1" applyAlignment="1">
      <alignment horizontal="center"/>
    </xf>
    <xf numFmtId="0" fontId="10" fillId="5" borderId="0" xfId="0" applyFont="1" applyFill="1" applyAlignment="1">
      <alignment horizontal="center"/>
    </xf>
    <xf numFmtId="166" fontId="5" fillId="5" borderId="0" xfId="0" applyNumberFormat="1" applyFont="1" applyFill="1" applyAlignment="1">
      <alignment horizontal="center"/>
    </xf>
    <xf numFmtId="170" fontId="10" fillId="0" borderId="1" xfId="0" applyNumberFormat="1" applyFont="1" applyFill="1" applyBorder="1" applyAlignment="1">
      <alignment horizontal="center"/>
    </xf>
    <xf numFmtId="177" fontId="10" fillId="0" borderId="1" xfId="0" applyNumberFormat="1" applyFont="1" applyFill="1" applyBorder="1" applyAlignment="1">
      <alignment horizontal="center"/>
    </xf>
    <xf numFmtId="175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177" fontId="5" fillId="0" borderId="1" xfId="0" applyNumberFormat="1" applyFont="1" applyBorder="1" applyAlignment="1">
      <alignment horizontal="center"/>
    </xf>
    <xf numFmtId="177" fontId="0" fillId="0" borderId="1" xfId="0" applyNumberFormat="1" applyFont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172" fontId="10" fillId="0" borderId="1" xfId="0" applyNumberFormat="1" applyFont="1" applyFill="1" applyBorder="1" applyAlignment="1">
      <alignment horizontal="center"/>
    </xf>
    <xf numFmtId="0" fontId="0" fillId="5" borderId="0" xfId="0" applyFont="1" applyFill="1" applyBorder="1" applyAlignment="1">
      <alignment horizontal="center"/>
    </xf>
    <xf numFmtId="174" fontId="8" fillId="0" borderId="1" xfId="0" applyNumberFormat="1" applyFont="1" applyBorder="1" applyAlignment="1">
      <alignment horizontal="center"/>
    </xf>
    <xf numFmtId="171" fontId="5" fillId="0" borderId="1" xfId="0" applyNumberFormat="1" applyFont="1" applyFill="1" applyBorder="1" applyAlignment="1">
      <alignment horizontal="center"/>
    </xf>
    <xf numFmtId="177" fontId="8" fillId="0" borderId="1" xfId="0" applyNumberFormat="1" applyFont="1" applyBorder="1" applyAlignment="1">
      <alignment horizontal="center"/>
    </xf>
    <xf numFmtId="175" fontId="10" fillId="0" borderId="1" xfId="0" applyNumberFormat="1" applyFont="1" applyFill="1" applyBorder="1" applyAlignment="1">
      <alignment horizontal="center"/>
    </xf>
    <xf numFmtId="0" fontId="9" fillId="0" borderId="7" xfId="0" applyFont="1" applyBorder="1" applyAlignment="1">
      <alignment horizontal="center"/>
    </xf>
    <xf numFmtId="10" fontId="8" fillId="0" borderId="8" xfId="0" applyNumberFormat="1" applyFont="1" applyBorder="1" applyAlignment="1">
      <alignment horizontal="center"/>
    </xf>
    <xf numFmtId="171" fontId="5" fillId="5" borderId="0" xfId="0" applyNumberFormat="1" applyFont="1" applyFill="1" applyBorder="1" applyAlignment="1">
      <alignment horizontal="center"/>
    </xf>
    <xf numFmtId="166" fontId="5" fillId="5" borderId="0" xfId="0" applyNumberFormat="1" applyFont="1" applyFill="1" applyBorder="1" applyAlignment="1">
      <alignment horizontal="center"/>
    </xf>
    <xf numFmtId="176" fontId="8" fillId="0" borderId="1" xfId="0" applyNumberFormat="1" applyFont="1" applyBorder="1" applyAlignment="1">
      <alignment horizontal="center"/>
    </xf>
    <xf numFmtId="177" fontId="5" fillId="0" borderId="1" xfId="0" applyNumberFormat="1" applyFont="1" applyFill="1" applyBorder="1" applyAlignment="1">
      <alignment horizontal="center"/>
    </xf>
    <xf numFmtId="0" fontId="5" fillId="5" borderId="0" xfId="0" applyNumberFormat="1" applyFont="1" applyFill="1" applyAlignment="1">
      <alignment horizontal="center"/>
    </xf>
    <xf numFmtId="0" fontId="3" fillId="0" borderId="1" xfId="0" applyFont="1" applyFill="1" applyBorder="1" applyAlignment="1">
      <alignment horizontal="center"/>
    </xf>
    <xf numFmtId="171" fontId="3" fillId="0" borderId="1" xfId="0" applyNumberFormat="1" applyFont="1" applyFill="1" applyBorder="1" applyAlignment="1">
      <alignment horizontal="center"/>
    </xf>
    <xf numFmtId="166" fontId="3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/>
    </xf>
    <xf numFmtId="171" fontId="9" fillId="0" borderId="13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165" fontId="8" fillId="0" borderId="12" xfId="0" applyNumberFormat="1" applyFont="1" applyBorder="1" applyAlignment="1">
      <alignment horizontal="center"/>
    </xf>
  </cellXfs>
  <cellStyles count="6">
    <cellStyle name="20% - Accent1" xfId="5" builtinId="30"/>
    <cellStyle name="Bad" xfId="2" builtinId="27"/>
    <cellStyle name="Input" xfId="3" builtinId="20"/>
    <cellStyle name="Normal" xfId="0" builtinId="0"/>
    <cellStyle name="Note" xfId="4" builtinId="10"/>
    <cellStyle name="Percent" xfId="1" builtinId="5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Sharpe</a:t>
            </a:r>
            <a:r>
              <a:rPr lang="en-IN" baseline="0"/>
              <a:t> Ratio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3759313580180449E-2"/>
          <c:y val="0.10284580453311164"/>
          <c:w val="0.956394128408523"/>
          <c:h val="0.83091827248684746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2272-4875-96A3-A43AE7CAC53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6-2272-4875-96A3-A43AE7CAC53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2272-4875-96A3-A43AE7CAC53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2272-4875-96A3-A43AE7CAC537}"/>
              </c:ext>
            </c:extLst>
          </c:dPt>
          <c:dLbls>
            <c:dLbl>
              <c:idx val="0"/>
              <c:layout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ICICI</a:t>
                    </a:r>
                    <a:r>
                      <a:rPr lang="en-US" baseline="0"/>
                      <a:t>, </a:t>
                    </a:r>
                    <a:fld id="{46DA8922-71B5-4D43-B89B-30045DD03047}" type="PERCENTAGE">
                      <a:rPr lang="en-US" baseline="0"/>
                      <a:pPr>
                        <a:defRPr/>
                      </a:pPr>
                      <a:t>[PERCENTAGE]</a:t>
                    </a:fld>
                    <a:endParaRPr lang="en-US" baseline="0"/>
                  </a:p>
                </c:rich>
              </c:tx>
              <c:spPr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66388888888889"/>
                      <c:h val="8.1018518518518517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2272-4875-96A3-A43AE7CAC537}"/>
                </c:ext>
              </c:extLst>
            </c:dLbl>
            <c:dLbl>
              <c:idx val="1"/>
              <c:layout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Adani Power 5.6%</a:t>
                    </a:r>
                    <a:endParaRPr lang="en-US"/>
                  </a:p>
                </c:rich>
              </c:tx>
              <c:spPr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991666666666668"/>
                      <c:h val="9.259259259259258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2272-4875-96A3-A43AE7CAC537}"/>
                </c:ext>
              </c:extLst>
            </c:dLbl>
            <c:dLbl>
              <c:idx val="2"/>
              <c:layout>
                <c:manualLayout>
                  <c:x val="0.25114107611548553"/>
                  <c:y val="5.879374453193349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Bharti Airtel </a:t>
                    </a:r>
                    <a:fld id="{94CFA2AD-3C3C-47F2-8EB0-1446322A304D}" type="PERCENTAGE">
                      <a:rPr lang="en-US" baseline="0"/>
                      <a:pPr>
                        <a:defRPr/>
                      </a:pPr>
                      <a:t>[PERCENTAGE]</a:t>
                    </a:fld>
                    <a:endParaRPr lang="en-US" baseline="0"/>
                  </a:p>
                </c:rich>
              </c:tx>
              <c:spPr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163888888888891"/>
                      <c:h val="9.0277777777777762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2272-4875-96A3-A43AE7CAC537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r>
                      <a:rPr lang="en-US" baseline="0"/>
                      <a:t>Viaz tyres 1.4%</a:t>
                    </a:r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033333333333333"/>
                      <c:h val="6.712962962962963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2272-4875-96A3-A43AE7CAC537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Sheet1!$E$101:$E$104</c:f>
              <c:numCache>
                <c:formatCode>0.000</c:formatCode>
                <c:ptCount val="4"/>
                <c:pt idx="0">
                  <c:v>0.53454944292675977</c:v>
                </c:pt>
                <c:pt idx="1">
                  <c:v>5.5157807121740766E-2</c:v>
                </c:pt>
                <c:pt idx="2">
                  <c:v>0.39666824653732524</c:v>
                </c:pt>
                <c:pt idx="3">
                  <c:v>1.3624503414174222E-2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72-4875-96A3-A43AE7CAC53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941424</xdr:colOff>
      <xdr:row>79</xdr:row>
      <xdr:rowOff>132907</xdr:rowOff>
    </xdr:from>
    <xdr:to>
      <xdr:col>10</xdr:col>
      <xdr:colOff>883227</xdr:colOff>
      <xdr:row>111</xdr:row>
      <xdr:rowOff>34636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T1003"/>
  <sheetViews>
    <sheetView tabSelected="1" zoomScale="32" zoomScaleNormal="72" workbookViewId="0">
      <selection activeCell="E101" sqref="E101"/>
    </sheetView>
  </sheetViews>
  <sheetFormatPr defaultColWidth="12.6640625" defaultRowHeight="15.75" customHeight="1" x14ac:dyDescent="0.25"/>
  <cols>
    <col min="1" max="1" width="30.5546875" style="6" bestFit="1" customWidth="1"/>
    <col min="2" max="2" width="43.6640625" style="6" bestFit="1" customWidth="1"/>
    <col min="3" max="3" width="27" style="6" bestFit="1" customWidth="1"/>
    <col min="4" max="4" width="41" style="6" bestFit="1" customWidth="1"/>
    <col min="5" max="5" width="30.44140625" style="6" bestFit="1" customWidth="1"/>
    <col min="6" max="6" width="31.33203125" style="6" bestFit="1" customWidth="1"/>
    <col min="7" max="7" width="38.44140625" style="6" bestFit="1" customWidth="1"/>
    <col min="8" max="8" width="21.5546875" style="6" bestFit="1" customWidth="1"/>
    <col min="9" max="9" width="30" style="6" bestFit="1" customWidth="1"/>
    <col min="10" max="10" width="12.6640625" style="6"/>
    <col min="11" max="11" width="27.33203125" style="6" bestFit="1" customWidth="1"/>
    <col min="12" max="12" width="21.5546875" style="6" bestFit="1" customWidth="1"/>
    <col min="13" max="13" width="27.6640625" style="6" bestFit="1" customWidth="1"/>
    <col min="14" max="14" width="12.6640625" style="6"/>
    <col min="15" max="15" width="27.88671875" style="6" bestFit="1" customWidth="1"/>
    <col min="16" max="16" width="20.88671875" style="3" bestFit="1" customWidth="1"/>
    <col min="17" max="17" width="28" style="3" bestFit="1" customWidth="1"/>
    <col min="18" max="18" width="12.6640625" style="3"/>
    <col min="19" max="19" width="27.88671875" style="3" bestFit="1" customWidth="1"/>
    <col min="20" max="20" width="21.5546875" style="3" bestFit="1" customWidth="1"/>
    <col min="21" max="21" width="28" style="3" bestFit="1" customWidth="1"/>
    <col min="22" max="22" width="12.6640625" style="3"/>
    <col min="23" max="23" width="26.33203125" style="3" bestFit="1" customWidth="1"/>
    <col min="24" max="24" width="21.5546875" style="3" bestFit="1" customWidth="1"/>
    <col min="25" max="25" width="27.6640625" style="3" bestFit="1" customWidth="1"/>
    <col min="26" max="26" width="12.6640625" style="3"/>
    <col min="27" max="27" width="24" style="3" bestFit="1" customWidth="1"/>
    <col min="28" max="28" width="21.5546875" style="3" bestFit="1" customWidth="1"/>
    <col min="29" max="29" width="27.5546875" style="3" bestFit="1" customWidth="1"/>
    <col min="30" max="30" width="12.6640625" style="3"/>
    <col min="31" max="31" width="24.44140625" style="3" bestFit="1" customWidth="1"/>
    <col min="32" max="32" width="22.5546875" style="3" bestFit="1" customWidth="1"/>
    <col min="33" max="33" width="28" style="3" bestFit="1" customWidth="1"/>
    <col min="34" max="34" width="12.6640625" style="3"/>
    <col min="35" max="35" width="19.33203125" style="3" bestFit="1" customWidth="1"/>
    <col min="36" max="36" width="22.5546875" style="3" bestFit="1" customWidth="1"/>
    <col min="37" max="37" width="26.44140625" style="3" bestFit="1" customWidth="1"/>
    <col min="38" max="38" width="12.6640625" style="3"/>
    <col min="39" max="39" width="23.109375" style="3" bestFit="1" customWidth="1"/>
    <col min="40" max="40" width="23.6640625" style="3" bestFit="1" customWidth="1"/>
    <col min="41" max="41" width="26.33203125" style="3" bestFit="1" customWidth="1"/>
    <col min="42" max="42" width="12.6640625" style="3"/>
    <col min="43" max="43" width="22.44140625" style="3" bestFit="1" customWidth="1"/>
    <col min="44" max="44" width="22.6640625" style="3" bestFit="1" customWidth="1"/>
    <col min="45" max="45" width="26.33203125" style="3" bestFit="1" customWidth="1"/>
    <col min="46" max="46" width="12.6640625" style="3"/>
    <col min="47" max="47" width="22.88671875" style="3" bestFit="1" customWidth="1"/>
    <col min="48" max="48" width="22.6640625" style="3" bestFit="1" customWidth="1"/>
    <col min="49" max="49" width="28.6640625" style="3" bestFit="1" customWidth="1"/>
    <col min="50" max="50" width="12.6640625" style="3"/>
    <col min="51" max="51" width="19.33203125" style="3" bestFit="1" customWidth="1"/>
    <col min="52" max="52" width="22.6640625" style="3" bestFit="1" customWidth="1"/>
    <col min="53" max="53" width="27.44140625" style="3" bestFit="1" customWidth="1"/>
    <col min="54" max="54" width="15" style="3" bestFit="1" customWidth="1"/>
    <col min="55" max="55" width="23.44140625" style="3" bestFit="1" customWidth="1"/>
    <col min="56" max="56" width="22.6640625" style="3" bestFit="1" customWidth="1"/>
    <col min="57" max="57" width="28.33203125" style="3" bestFit="1" customWidth="1"/>
    <col min="58" max="58" width="12.6640625" style="3"/>
    <col min="59" max="59" width="17.88671875" style="3" bestFit="1" customWidth="1"/>
    <col min="60" max="60" width="22.6640625" style="3" bestFit="1" customWidth="1"/>
    <col min="61" max="61" width="29" style="3" bestFit="1" customWidth="1"/>
    <col min="62" max="16384" width="12.6640625" style="3"/>
  </cols>
  <sheetData>
    <row r="1" spans="1:72" customFormat="1" ht="13.8" x14ac:dyDescent="0.25">
      <c r="A1" s="13" t="s">
        <v>0</v>
      </c>
      <c r="B1" s="13"/>
      <c r="C1" s="13"/>
      <c r="D1" s="14"/>
      <c r="E1" s="15" t="s">
        <v>1</v>
      </c>
      <c r="F1" s="15"/>
      <c r="G1" s="15"/>
      <c r="H1" s="14"/>
      <c r="I1" s="16" t="s">
        <v>2</v>
      </c>
      <c r="J1" s="16"/>
      <c r="K1" s="16"/>
      <c r="L1" s="14"/>
      <c r="M1" s="17" t="s">
        <v>3</v>
      </c>
      <c r="N1" s="17"/>
      <c r="O1" s="17"/>
      <c r="P1" s="18"/>
      <c r="Q1" s="17" t="s">
        <v>64</v>
      </c>
      <c r="R1" s="17"/>
      <c r="S1" s="17"/>
      <c r="T1" s="18"/>
      <c r="U1" s="17" t="s">
        <v>66</v>
      </c>
      <c r="V1" s="17"/>
      <c r="W1" s="17"/>
      <c r="X1" s="18"/>
      <c r="Y1" s="17" t="s">
        <v>4</v>
      </c>
      <c r="Z1" s="17"/>
      <c r="AA1" s="17"/>
      <c r="AB1" s="14"/>
      <c r="AC1" s="19" t="s">
        <v>5</v>
      </c>
      <c r="AD1" s="19"/>
      <c r="AE1" s="19"/>
      <c r="AF1" s="18"/>
      <c r="AG1" s="20" t="s">
        <v>6</v>
      </c>
      <c r="AH1" s="20"/>
      <c r="AI1" s="20"/>
      <c r="AJ1" s="18"/>
      <c r="AK1" s="21" t="s">
        <v>7</v>
      </c>
      <c r="AL1" s="21"/>
      <c r="AM1" s="21"/>
      <c r="AN1" s="18"/>
      <c r="AO1" s="17" t="s">
        <v>8</v>
      </c>
      <c r="AP1" s="17"/>
      <c r="AQ1" s="22"/>
      <c r="AR1" s="23"/>
      <c r="AS1" s="24" t="s">
        <v>114</v>
      </c>
      <c r="AT1" s="24"/>
      <c r="AU1" s="24"/>
      <c r="AV1" s="23"/>
      <c r="AW1" s="22" t="s">
        <v>9</v>
      </c>
      <c r="AX1" s="22"/>
      <c r="AY1" s="22"/>
      <c r="AZ1" s="25"/>
      <c r="BA1" s="22" t="s">
        <v>10</v>
      </c>
      <c r="BB1" s="22"/>
      <c r="BC1" s="22"/>
      <c r="BD1" s="23"/>
      <c r="BE1" s="22" t="s">
        <v>11</v>
      </c>
      <c r="BF1" s="22"/>
      <c r="BG1" s="22"/>
      <c r="BH1" s="26"/>
      <c r="BI1" s="26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</row>
    <row r="2" spans="1:72" s="6" customFormat="1" ht="13.8" x14ac:dyDescent="0.25">
      <c r="A2" s="13" t="s">
        <v>12</v>
      </c>
      <c r="B2" s="13" t="s">
        <v>13</v>
      </c>
      <c r="C2" s="13" t="s">
        <v>14</v>
      </c>
      <c r="D2" s="28"/>
      <c r="E2" s="15" t="s">
        <v>12</v>
      </c>
      <c r="F2" s="15" t="s">
        <v>13</v>
      </c>
      <c r="G2" s="15" t="s">
        <v>14</v>
      </c>
      <c r="H2" s="28"/>
      <c r="I2" s="29" t="s">
        <v>12</v>
      </c>
      <c r="J2" s="29" t="s">
        <v>13</v>
      </c>
      <c r="K2" s="29" t="s">
        <v>14</v>
      </c>
      <c r="L2" s="28"/>
      <c r="M2" s="22" t="s">
        <v>12</v>
      </c>
      <c r="N2" s="22" t="s">
        <v>13</v>
      </c>
      <c r="O2" s="22" t="s">
        <v>14</v>
      </c>
      <c r="P2" s="23"/>
      <c r="Q2" s="30" t="s">
        <v>12</v>
      </c>
      <c r="R2" s="31" t="s">
        <v>63</v>
      </c>
      <c r="S2" s="31" t="s">
        <v>14</v>
      </c>
      <c r="T2" s="23"/>
      <c r="U2" s="22" t="s">
        <v>12</v>
      </c>
      <c r="V2" s="31" t="s">
        <v>65</v>
      </c>
      <c r="W2" s="31" t="s">
        <v>14</v>
      </c>
      <c r="X2" s="23"/>
      <c r="Y2" s="22" t="s">
        <v>12</v>
      </c>
      <c r="Z2" s="22" t="s">
        <v>13</v>
      </c>
      <c r="AA2" s="22" t="s">
        <v>14</v>
      </c>
      <c r="AB2" s="25"/>
      <c r="AC2" s="32" t="s">
        <v>12</v>
      </c>
      <c r="AD2" s="32" t="s">
        <v>13</v>
      </c>
      <c r="AE2" s="32" t="s">
        <v>14</v>
      </c>
      <c r="AF2" s="23"/>
      <c r="AG2" s="33" t="s">
        <v>12</v>
      </c>
      <c r="AH2" s="34" t="s">
        <v>70</v>
      </c>
      <c r="AI2" s="34" t="s">
        <v>14</v>
      </c>
      <c r="AJ2" s="23"/>
      <c r="AK2" s="21" t="s">
        <v>12</v>
      </c>
      <c r="AL2" s="21" t="s">
        <v>13</v>
      </c>
      <c r="AM2" s="21" t="s">
        <v>14</v>
      </c>
      <c r="AN2" s="23"/>
      <c r="AO2" s="22" t="s">
        <v>12</v>
      </c>
      <c r="AP2" s="22" t="s">
        <v>13</v>
      </c>
      <c r="AQ2" s="35" t="s">
        <v>14</v>
      </c>
      <c r="AR2" s="36"/>
      <c r="AS2" s="24" t="s">
        <v>12</v>
      </c>
      <c r="AT2" s="24" t="s">
        <v>113</v>
      </c>
      <c r="AU2" s="24" t="s">
        <v>14</v>
      </c>
      <c r="AV2" s="23"/>
      <c r="AW2" s="22" t="s">
        <v>12</v>
      </c>
      <c r="AX2" s="22" t="s">
        <v>13</v>
      </c>
      <c r="AY2" s="22" t="s">
        <v>14</v>
      </c>
      <c r="AZ2" s="25"/>
      <c r="BA2" s="22" t="s">
        <v>12</v>
      </c>
      <c r="BB2" s="22" t="s">
        <v>13</v>
      </c>
      <c r="BC2" s="22" t="s">
        <v>14</v>
      </c>
      <c r="BD2" s="23"/>
      <c r="BE2" s="22" t="s">
        <v>12</v>
      </c>
      <c r="BF2" s="22" t="s">
        <v>13</v>
      </c>
      <c r="BG2" s="22" t="s">
        <v>14</v>
      </c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</row>
    <row r="3" spans="1:72" s="6" customFormat="1" ht="15" x14ac:dyDescent="0.25">
      <c r="A3" s="45">
        <v>45658</v>
      </c>
      <c r="B3" s="37">
        <v>716.1</v>
      </c>
      <c r="C3" s="38">
        <v>-3.2500000000000001E-2</v>
      </c>
      <c r="D3" s="28"/>
      <c r="E3" s="39">
        <v>45658</v>
      </c>
      <c r="F3" s="40">
        <v>1252.8</v>
      </c>
      <c r="G3" s="41">
        <v>-2.2499999999999999E-2</v>
      </c>
      <c r="H3" s="28"/>
      <c r="I3" s="42">
        <v>45658</v>
      </c>
      <c r="J3" s="43">
        <v>102.64</v>
      </c>
      <c r="K3" s="44">
        <v>-3.0700000000000002E-2</v>
      </c>
      <c r="L3" s="28"/>
      <c r="M3" s="45">
        <v>45658</v>
      </c>
      <c r="N3" s="46">
        <v>12310.65</v>
      </c>
      <c r="O3" s="47">
        <f>13.37%</f>
        <v>0.13369999999999999</v>
      </c>
      <c r="P3" s="48"/>
      <c r="Q3" s="49">
        <v>45658</v>
      </c>
      <c r="R3" s="8">
        <v>2856.65</v>
      </c>
      <c r="S3" s="50">
        <v>-0.1162</v>
      </c>
      <c r="T3" s="48"/>
      <c r="U3" s="45">
        <v>45658</v>
      </c>
      <c r="V3" s="8">
        <v>2771.25</v>
      </c>
      <c r="W3" s="50">
        <v>-4.7699999999999999E-2</v>
      </c>
      <c r="X3" s="36"/>
      <c r="Y3" s="45">
        <v>45658</v>
      </c>
      <c r="Z3" s="37">
        <v>945</v>
      </c>
      <c r="AA3" s="47">
        <f>4.83%</f>
        <v>4.8300000000000003E-2</v>
      </c>
      <c r="AB3" s="51"/>
      <c r="AC3" s="52">
        <v>45658</v>
      </c>
      <c r="AD3" s="53">
        <v>2457.9</v>
      </c>
      <c r="AE3" s="54">
        <v>3.7699999999999997E-2</v>
      </c>
      <c r="AF3" s="36"/>
      <c r="AG3" s="55">
        <v>45658</v>
      </c>
      <c r="AH3" s="56">
        <v>113632.5</v>
      </c>
      <c r="AI3" s="57">
        <v>-0.13020000000000001</v>
      </c>
      <c r="AJ3" s="36"/>
      <c r="AK3" s="58">
        <v>45658</v>
      </c>
      <c r="AL3" s="59">
        <v>1626.3</v>
      </c>
      <c r="AM3" s="60">
        <f>2.43%</f>
        <v>2.4300000000000002E-2</v>
      </c>
      <c r="AN3" s="61"/>
      <c r="AO3" s="45">
        <v>45658</v>
      </c>
      <c r="AP3" s="46">
        <v>1879.8</v>
      </c>
      <c r="AQ3" s="38">
        <v>-1E-4</v>
      </c>
      <c r="AR3" s="36"/>
      <c r="AS3" s="62">
        <v>45658</v>
      </c>
      <c r="AT3" s="24">
        <v>63.75</v>
      </c>
      <c r="AU3" s="63">
        <v>-5.0599999999999999E-2</v>
      </c>
      <c r="AV3" s="61"/>
      <c r="AW3" s="45">
        <v>45658</v>
      </c>
      <c r="AX3" s="37">
        <v>324</v>
      </c>
      <c r="AY3" s="38">
        <v>-2.8000000000000001E-2</v>
      </c>
      <c r="AZ3" s="51"/>
      <c r="BA3" s="45">
        <v>45658</v>
      </c>
      <c r="BB3" s="46">
        <v>4339.1499999999996</v>
      </c>
      <c r="BC3" s="38">
        <f>4.29%</f>
        <v>4.2900000000000001E-2</v>
      </c>
      <c r="BD3" s="61"/>
      <c r="BE3" s="45">
        <v>45658</v>
      </c>
      <c r="BF3" s="46">
        <v>2468.8000000000002</v>
      </c>
      <c r="BG3" s="38">
        <f>6.1%</f>
        <v>6.0999999999999999E-2</v>
      </c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</row>
    <row r="4" spans="1:72" s="6" customFormat="1" ht="15" x14ac:dyDescent="0.25">
      <c r="A4" s="45">
        <v>45303</v>
      </c>
      <c r="B4" s="37">
        <v>740.15</v>
      </c>
      <c r="C4" s="38">
        <v>-5.8900000000000001E-2</v>
      </c>
      <c r="D4" s="28"/>
      <c r="E4" s="39">
        <v>45303</v>
      </c>
      <c r="F4" s="40">
        <v>1281.6500000000001</v>
      </c>
      <c r="G4" s="41">
        <v>-1.4200000000000001E-2</v>
      </c>
      <c r="H4" s="28"/>
      <c r="I4" s="42">
        <v>45303</v>
      </c>
      <c r="J4" s="43">
        <v>105.89</v>
      </c>
      <c r="K4" s="44">
        <v>-4.5699999999999998E-2</v>
      </c>
      <c r="L4" s="28"/>
      <c r="M4" s="45">
        <v>45303</v>
      </c>
      <c r="N4" s="46">
        <v>10858.4</v>
      </c>
      <c r="O4" s="38">
        <v>-1.95E-2</v>
      </c>
      <c r="P4" s="61"/>
      <c r="Q4" s="49">
        <v>45627</v>
      </c>
      <c r="R4" s="8">
        <v>3232.35</v>
      </c>
      <c r="S4" s="50">
        <v>5.0099999999999999E-2</v>
      </c>
      <c r="T4" s="61"/>
      <c r="U4" s="45">
        <v>45303</v>
      </c>
      <c r="V4" s="8">
        <v>2910.1</v>
      </c>
      <c r="W4" s="50">
        <v>4.6699999999999998E-2</v>
      </c>
      <c r="X4" s="36"/>
      <c r="Y4" s="45">
        <v>45303</v>
      </c>
      <c r="Z4" s="37">
        <v>901.5</v>
      </c>
      <c r="AA4" s="38">
        <v>-6.6799999999999998E-2</v>
      </c>
      <c r="AB4" s="51"/>
      <c r="AC4" s="52">
        <v>45303</v>
      </c>
      <c r="AD4" s="53">
        <v>2368.5</v>
      </c>
      <c r="AE4" s="54">
        <v>-2.7099999999999999E-2</v>
      </c>
      <c r="AF4" s="36"/>
      <c r="AG4" s="55">
        <v>45303</v>
      </c>
      <c r="AH4" s="56">
        <v>130634.85</v>
      </c>
      <c r="AI4" s="57">
        <v>4.2999999999999997E-2</v>
      </c>
      <c r="AJ4" s="36"/>
      <c r="AK4" s="58">
        <v>45303</v>
      </c>
      <c r="AL4" s="59">
        <v>1587.75</v>
      </c>
      <c r="AM4" s="60">
        <v>-2.4199999999999999E-2</v>
      </c>
      <c r="AN4" s="61"/>
      <c r="AO4" s="45">
        <v>45303</v>
      </c>
      <c r="AP4" s="46">
        <v>1880</v>
      </c>
      <c r="AQ4" s="64">
        <f>1.19%</f>
        <v>1.1899999999999999E-2</v>
      </c>
      <c r="AR4" s="36"/>
      <c r="AS4" s="62">
        <v>45303</v>
      </c>
      <c r="AT4" s="24">
        <v>67.150000000000006</v>
      </c>
      <c r="AU4" s="63">
        <v>1.21E-2</v>
      </c>
      <c r="AV4" s="61"/>
      <c r="AW4" s="45">
        <v>45303</v>
      </c>
      <c r="AX4" s="37">
        <v>333.35</v>
      </c>
      <c r="AY4" s="38">
        <v>8.3299999999999999E-2</v>
      </c>
      <c r="AZ4" s="51"/>
      <c r="BA4" s="45">
        <v>45303</v>
      </c>
      <c r="BB4" s="46">
        <v>4160.6000000000004</v>
      </c>
      <c r="BC4" s="38">
        <v>-0.12620000000000001</v>
      </c>
      <c r="BD4" s="61"/>
      <c r="BE4" s="45">
        <v>45303</v>
      </c>
      <c r="BF4" s="46">
        <v>2326.85</v>
      </c>
      <c r="BG4" s="38">
        <v>-6.7799999999999999E-2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</row>
    <row r="5" spans="1:72" s="6" customFormat="1" ht="15" x14ac:dyDescent="0.25">
      <c r="A5" s="45">
        <v>45302</v>
      </c>
      <c r="B5" s="37">
        <v>786.45</v>
      </c>
      <c r="C5" s="38">
        <v>-5.7099999999999998E-2</v>
      </c>
      <c r="D5" s="28"/>
      <c r="E5" s="39">
        <v>45302</v>
      </c>
      <c r="F5" s="40">
        <v>1300.0999999999999</v>
      </c>
      <c r="G5" s="41">
        <f>0.61%</f>
        <v>6.0999999999999995E-3</v>
      </c>
      <c r="H5" s="28"/>
      <c r="I5" s="42">
        <v>45302</v>
      </c>
      <c r="J5" s="43">
        <v>110.96</v>
      </c>
      <c r="K5" s="44">
        <v>-6.3899999999999998E-2</v>
      </c>
      <c r="L5" s="28"/>
      <c r="M5" s="45">
        <v>45302</v>
      </c>
      <c r="N5" s="46">
        <v>11074.2</v>
      </c>
      <c r="O5" s="38">
        <v>-2.0000000000000001E-4</v>
      </c>
      <c r="P5" s="61"/>
      <c r="Q5" s="49">
        <v>45597</v>
      </c>
      <c r="R5" s="8">
        <v>3078.15</v>
      </c>
      <c r="S5" s="50">
        <v>9.7000000000000003E-2</v>
      </c>
      <c r="T5" s="61"/>
      <c r="U5" s="45">
        <v>45302</v>
      </c>
      <c r="V5" s="8">
        <v>2780.15</v>
      </c>
      <c r="W5" s="50">
        <v>-2.0199999999999999E-2</v>
      </c>
      <c r="X5" s="36"/>
      <c r="Y5" s="45">
        <v>45302</v>
      </c>
      <c r="Z5" s="37">
        <v>966</v>
      </c>
      <c r="AA5" s="47">
        <f>0.24%</f>
        <v>2.3999999999999998E-3</v>
      </c>
      <c r="AB5" s="51"/>
      <c r="AC5" s="52">
        <v>45302</v>
      </c>
      <c r="AD5" s="53">
        <v>2434.4499999999998</v>
      </c>
      <c r="AE5" s="54">
        <v>-2.3800000000000002E-2</v>
      </c>
      <c r="AF5" s="36"/>
      <c r="AG5" s="55">
        <v>45302</v>
      </c>
      <c r="AH5" s="56">
        <v>125251.3</v>
      </c>
      <c r="AI5" s="57">
        <v>2.23E-2</v>
      </c>
      <c r="AJ5" s="36"/>
      <c r="AK5" s="58">
        <v>45302</v>
      </c>
      <c r="AL5" s="59">
        <v>1627.15</v>
      </c>
      <c r="AM5" s="60">
        <f>0.9%</f>
        <v>9.0000000000000011E-3</v>
      </c>
      <c r="AN5" s="61"/>
      <c r="AO5" s="45">
        <v>45302</v>
      </c>
      <c r="AP5" s="46">
        <v>1857.85</v>
      </c>
      <c r="AQ5" s="64">
        <f>5.72%</f>
        <v>5.7200000000000001E-2</v>
      </c>
      <c r="AR5" s="36"/>
      <c r="AS5" s="62">
        <v>45302</v>
      </c>
      <c r="AT5" s="24">
        <v>66.349999999999994</v>
      </c>
      <c r="AU5" s="63">
        <v>5.3199999999999997E-2</v>
      </c>
      <c r="AV5" s="61"/>
      <c r="AW5" s="45">
        <v>45302</v>
      </c>
      <c r="AX5" s="37">
        <v>363.65</v>
      </c>
      <c r="AY5" s="38">
        <v>-0.109</v>
      </c>
      <c r="AZ5" s="51"/>
      <c r="BA5" s="45">
        <v>45302</v>
      </c>
      <c r="BB5" s="46">
        <v>4761.7</v>
      </c>
      <c r="BC5" s="38">
        <v>-4.5699999999999998E-2</v>
      </c>
      <c r="BD5" s="61"/>
      <c r="BE5" s="45">
        <v>45302</v>
      </c>
      <c r="BF5" s="46">
        <v>2496.15</v>
      </c>
      <c r="BG5" s="38">
        <v>-8.8000000000000005E-3</v>
      </c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</row>
    <row r="6" spans="1:72" s="6" customFormat="1" ht="15" x14ac:dyDescent="0.25">
      <c r="A6" s="45">
        <v>45301</v>
      </c>
      <c r="B6" s="37">
        <v>834.05</v>
      </c>
      <c r="C6" s="38">
        <v>-0.14430000000000001</v>
      </c>
      <c r="D6" s="28"/>
      <c r="E6" s="39">
        <v>45301</v>
      </c>
      <c r="F6" s="40">
        <v>1292.25</v>
      </c>
      <c r="G6" s="41">
        <f>1.51%</f>
        <v>1.5100000000000001E-2</v>
      </c>
      <c r="H6" s="28"/>
      <c r="I6" s="42">
        <v>45301</v>
      </c>
      <c r="J6" s="43">
        <v>118.54</v>
      </c>
      <c r="K6" s="44">
        <v>-9.6699999999999994E-2</v>
      </c>
      <c r="L6" s="28"/>
      <c r="M6" s="45">
        <v>45301</v>
      </c>
      <c r="N6" s="46">
        <v>11076.45</v>
      </c>
      <c r="O6" s="38">
        <v>-0.1633</v>
      </c>
      <c r="P6" s="61"/>
      <c r="Q6" s="49">
        <v>45566</v>
      </c>
      <c r="R6" s="8">
        <v>2805.9</v>
      </c>
      <c r="S6" s="50">
        <v>-0.1106</v>
      </c>
      <c r="T6" s="61"/>
      <c r="U6" s="45">
        <v>45301</v>
      </c>
      <c r="V6" s="8">
        <v>2837.45</v>
      </c>
      <c r="W6" s="50">
        <v>-6.9699999999999998E-2</v>
      </c>
      <c r="X6" s="36"/>
      <c r="Y6" s="45">
        <v>45301</v>
      </c>
      <c r="Z6" s="37">
        <v>963.65</v>
      </c>
      <c r="AA6" s="38">
        <v>-6.4500000000000002E-2</v>
      </c>
      <c r="AB6" s="51"/>
      <c r="AC6" s="52">
        <v>45301</v>
      </c>
      <c r="AD6" s="53">
        <v>2493.6999999999998</v>
      </c>
      <c r="AE6" s="54">
        <v>-0.12189999999999999</v>
      </c>
      <c r="AF6" s="36"/>
      <c r="AG6" s="55">
        <v>45301</v>
      </c>
      <c r="AH6" s="56">
        <v>122524.45</v>
      </c>
      <c r="AI6" s="57">
        <v>0.1154</v>
      </c>
      <c r="AJ6" s="36"/>
      <c r="AK6" s="58">
        <v>45301</v>
      </c>
      <c r="AL6" s="59">
        <v>1612.6</v>
      </c>
      <c r="AM6" s="60">
        <v>-5.67E-2</v>
      </c>
      <c r="AN6" s="61"/>
      <c r="AO6" s="45">
        <v>45301</v>
      </c>
      <c r="AP6" s="46">
        <v>1757.25</v>
      </c>
      <c r="AQ6" s="38">
        <v>-6.3100000000000003E-2</v>
      </c>
      <c r="AR6" s="36"/>
      <c r="AS6" s="62">
        <v>45301</v>
      </c>
      <c r="AT6" s="24">
        <v>63</v>
      </c>
      <c r="AU6" s="63">
        <v>-5.4100000000000002E-2</v>
      </c>
      <c r="AV6" s="61"/>
      <c r="AW6" s="45">
        <v>45301</v>
      </c>
      <c r="AX6" s="37">
        <v>408.15</v>
      </c>
      <c r="AY6" s="38">
        <v>-7.9100000000000004E-2</v>
      </c>
      <c r="AZ6" s="51"/>
      <c r="BA6" s="45">
        <v>45301</v>
      </c>
      <c r="BB6" s="46">
        <v>4989.55</v>
      </c>
      <c r="BC6" s="38">
        <v>-0.1265</v>
      </c>
      <c r="BD6" s="61"/>
      <c r="BE6" s="45">
        <v>45301</v>
      </c>
      <c r="BF6" s="46">
        <v>2518.2199999999998</v>
      </c>
      <c r="BG6" s="38">
        <v>-0.1454</v>
      </c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</row>
    <row r="7" spans="1:72" s="6" customFormat="1" ht="15" x14ac:dyDescent="0.25">
      <c r="A7" s="45">
        <v>45300</v>
      </c>
      <c r="B7" s="37">
        <v>974.65</v>
      </c>
      <c r="C7" s="38">
        <v>-0.123</v>
      </c>
      <c r="D7" s="28"/>
      <c r="E7" s="39">
        <v>45300</v>
      </c>
      <c r="F7" s="15" t="s">
        <v>13</v>
      </c>
      <c r="G7" s="41">
        <f>3.56%</f>
        <v>3.56E-2</v>
      </c>
      <c r="H7" s="28"/>
      <c r="I7" s="42">
        <v>45300</v>
      </c>
      <c r="J7" s="43">
        <v>131.22999999999999</v>
      </c>
      <c r="K7" s="44">
        <f>3.81%</f>
        <v>3.8100000000000002E-2</v>
      </c>
      <c r="L7" s="28"/>
      <c r="M7" s="45">
        <v>45300</v>
      </c>
      <c r="N7" s="46">
        <v>13238</v>
      </c>
      <c r="O7" s="47">
        <f>6.73%</f>
        <v>6.7299999999999999E-2</v>
      </c>
      <c r="P7" s="48"/>
      <c r="Q7" s="49">
        <v>45536</v>
      </c>
      <c r="R7" s="8">
        <v>3154.8</v>
      </c>
      <c r="S7" s="50">
        <v>0.14460000000000001</v>
      </c>
      <c r="T7" s="48"/>
      <c r="U7" s="45">
        <v>45300</v>
      </c>
      <c r="V7" s="8">
        <v>3050.15</v>
      </c>
      <c r="W7" s="50">
        <v>7.7899999999999997E-2</v>
      </c>
      <c r="X7" s="36"/>
      <c r="Y7" s="45">
        <v>45300</v>
      </c>
      <c r="Z7" s="46">
        <v>1030.05</v>
      </c>
      <c r="AA7" s="47">
        <f>9.45%</f>
        <v>9.4499999999999987E-2</v>
      </c>
      <c r="AB7" s="51"/>
      <c r="AC7" s="52">
        <v>45300</v>
      </c>
      <c r="AD7" s="53">
        <v>2839.85</v>
      </c>
      <c r="AE7" s="54">
        <v>9.4000000000000004E-3</v>
      </c>
      <c r="AF7" s="36"/>
      <c r="AG7" s="55">
        <v>45300</v>
      </c>
      <c r="AH7" s="56">
        <v>138513.66</v>
      </c>
      <c r="AI7" s="57">
        <v>2.7300000000000001E-2</v>
      </c>
      <c r="AJ7" s="36"/>
      <c r="AK7" s="58">
        <v>45300</v>
      </c>
      <c r="AL7" s="59">
        <v>1709.55</v>
      </c>
      <c r="AM7" s="60">
        <f>7.58%</f>
        <v>7.5800000000000006E-2</v>
      </c>
      <c r="AN7" s="61"/>
      <c r="AO7" s="45">
        <v>45300</v>
      </c>
      <c r="AP7" s="46">
        <v>1875.6</v>
      </c>
      <c r="AQ7" s="38">
        <v>-3.5000000000000003E-2</v>
      </c>
      <c r="AR7" s="36"/>
      <c r="AS7" s="62">
        <v>45300</v>
      </c>
      <c r="AT7" s="24">
        <v>66.599999999999994</v>
      </c>
      <c r="AU7" s="63">
        <v>0.2</v>
      </c>
      <c r="AV7" s="61"/>
      <c r="AW7" s="45">
        <v>45300</v>
      </c>
      <c r="AX7" s="37">
        <v>443.2</v>
      </c>
      <c r="AY7" s="38">
        <f>6.49%</f>
        <v>6.4899999999999999E-2</v>
      </c>
      <c r="AZ7" s="51"/>
      <c r="BA7" s="45">
        <v>45300</v>
      </c>
      <c r="BB7" s="46">
        <v>5712.4</v>
      </c>
      <c r="BC7" s="38">
        <f>4.71%</f>
        <v>4.7100000000000003E-2</v>
      </c>
      <c r="BD7" s="61"/>
      <c r="BE7" s="45">
        <v>45300</v>
      </c>
      <c r="BF7" s="46">
        <v>2946.57</v>
      </c>
      <c r="BG7" s="38">
        <f>6.49%</f>
        <v>6.4899999999999999E-2</v>
      </c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</row>
    <row r="8" spans="1:72" s="6" customFormat="1" ht="15" x14ac:dyDescent="0.25">
      <c r="A8" s="45">
        <v>45299</v>
      </c>
      <c r="B8" s="46">
        <v>1111.3499999999999</v>
      </c>
      <c r="C8" s="38">
        <v>-3.9199999999999999E-2</v>
      </c>
      <c r="D8" s="28"/>
      <c r="E8" s="39">
        <v>45299</v>
      </c>
      <c r="F8" s="40">
        <v>1229.2</v>
      </c>
      <c r="G8" s="41">
        <f>1.18%</f>
        <v>1.18E-2</v>
      </c>
      <c r="H8" s="28"/>
      <c r="I8" s="42">
        <v>45299</v>
      </c>
      <c r="J8" s="43">
        <v>126.41</v>
      </c>
      <c r="K8" s="44">
        <v>0.1394</v>
      </c>
      <c r="L8" s="28"/>
      <c r="M8" s="45">
        <v>45299</v>
      </c>
      <c r="N8" s="46">
        <v>12403</v>
      </c>
      <c r="O8" s="38">
        <v>-5.4300000000000001E-2</v>
      </c>
      <c r="P8" s="61"/>
      <c r="Q8" s="49">
        <v>45505</v>
      </c>
      <c r="R8" s="8">
        <v>2756.3</v>
      </c>
      <c r="S8" s="50">
        <v>2.5100000000000001E-2</v>
      </c>
      <c r="T8" s="61"/>
      <c r="U8" s="45">
        <v>45299</v>
      </c>
      <c r="V8" s="8">
        <v>2829.75</v>
      </c>
      <c r="W8" s="50">
        <v>-0.14849999999999999</v>
      </c>
      <c r="X8" s="36"/>
      <c r="Y8" s="45">
        <v>45299</v>
      </c>
      <c r="Z8" s="37">
        <v>941.1</v>
      </c>
      <c r="AA8" s="47">
        <f>1.38%</f>
        <v>1.38E-2</v>
      </c>
      <c r="AB8" s="51"/>
      <c r="AC8" s="52">
        <v>45299</v>
      </c>
      <c r="AD8" s="53">
        <v>2813.3</v>
      </c>
      <c r="AE8" s="54">
        <v>0.1115</v>
      </c>
      <c r="AF8" s="36"/>
      <c r="AG8" s="55">
        <v>45299</v>
      </c>
      <c r="AH8" s="56">
        <v>134833.45000000001</v>
      </c>
      <c r="AI8" s="57">
        <v>-5.21E-2</v>
      </c>
      <c r="AJ8" s="36"/>
      <c r="AK8" s="58">
        <v>45299</v>
      </c>
      <c r="AL8" s="59">
        <v>1589.05</v>
      </c>
      <c r="AM8" s="60">
        <f>6.54%</f>
        <v>6.54E-2</v>
      </c>
      <c r="AN8" s="61"/>
      <c r="AO8" s="45">
        <v>45299</v>
      </c>
      <c r="AP8" s="46">
        <v>1943.7</v>
      </c>
      <c r="AQ8" s="64">
        <f>4.04%</f>
        <v>4.0399999999999998E-2</v>
      </c>
      <c r="AR8" s="36"/>
      <c r="AS8" s="62">
        <v>45299</v>
      </c>
      <c r="AT8" s="24">
        <v>55.5</v>
      </c>
      <c r="AU8" s="63">
        <v>-4.3900000000000002E-2</v>
      </c>
      <c r="AV8" s="61"/>
      <c r="AW8" s="45">
        <v>45299</v>
      </c>
      <c r="AX8" s="37">
        <v>416.2</v>
      </c>
      <c r="AY8" s="38">
        <f>0.05%</f>
        <v>5.0000000000000001E-4</v>
      </c>
      <c r="AZ8" s="51"/>
      <c r="BA8" s="45">
        <v>45299</v>
      </c>
      <c r="BB8" s="46">
        <v>5455.4</v>
      </c>
      <c r="BC8" s="38">
        <v>-6.0000000000000001E-3</v>
      </c>
      <c r="BD8" s="61"/>
      <c r="BE8" s="45">
        <v>45299</v>
      </c>
      <c r="BF8" s="46">
        <v>2766.98</v>
      </c>
      <c r="BG8" s="38">
        <f>2.67%</f>
        <v>2.6699999999999998E-2</v>
      </c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</row>
    <row r="9" spans="1:72" s="6" customFormat="1" ht="15" x14ac:dyDescent="0.25">
      <c r="A9" s="45">
        <v>45298</v>
      </c>
      <c r="B9" s="46">
        <v>1156.6500000000001</v>
      </c>
      <c r="C9" s="38">
        <f>16.86%</f>
        <v>0.1686</v>
      </c>
      <c r="D9" s="28"/>
      <c r="E9" s="39">
        <v>45298</v>
      </c>
      <c r="F9" s="40">
        <v>1214.9000000000001</v>
      </c>
      <c r="G9" s="41">
        <f>1.28%</f>
        <v>1.2800000000000001E-2</v>
      </c>
      <c r="H9" s="28"/>
      <c r="I9" s="42">
        <v>45298</v>
      </c>
      <c r="J9" s="43">
        <v>146.88999999999999</v>
      </c>
      <c r="K9" s="44">
        <f>2.21%</f>
        <v>2.2099999999999998E-2</v>
      </c>
      <c r="L9" s="28"/>
      <c r="M9" s="45">
        <v>45298</v>
      </c>
      <c r="N9" s="46">
        <v>13115.8</v>
      </c>
      <c r="O9" s="47">
        <f>8.99%</f>
        <v>8.9900000000000008E-2</v>
      </c>
      <c r="P9" s="48"/>
      <c r="Q9" s="49">
        <v>45474</v>
      </c>
      <c r="R9" s="8">
        <v>2688.85</v>
      </c>
      <c r="S9" s="50">
        <v>-4.7100000000000003E-2</v>
      </c>
      <c r="T9" s="48"/>
      <c r="U9" s="45">
        <v>45298</v>
      </c>
      <c r="V9" s="8">
        <v>3323.3</v>
      </c>
      <c r="W9" s="50">
        <v>2.92E-2</v>
      </c>
      <c r="X9" s="36"/>
      <c r="Y9" s="45">
        <v>45298</v>
      </c>
      <c r="Z9" s="37">
        <v>928.25</v>
      </c>
      <c r="AA9" s="38">
        <v>-3.5000000000000001E-3</v>
      </c>
      <c r="AB9" s="51"/>
      <c r="AC9" s="52">
        <v>45298</v>
      </c>
      <c r="AD9" s="53">
        <v>2531</v>
      </c>
      <c r="AE9" s="54">
        <v>7.0300000000000001E-2</v>
      </c>
      <c r="AF9" s="36"/>
      <c r="AG9" s="55">
        <v>45298</v>
      </c>
      <c r="AH9" s="56">
        <v>142249.04999999999</v>
      </c>
      <c r="AI9" s="57">
        <v>9.8799999999999999E-2</v>
      </c>
      <c r="AJ9" s="36"/>
      <c r="AK9" s="58">
        <v>45298</v>
      </c>
      <c r="AL9" s="59">
        <v>1491.55</v>
      </c>
      <c r="AM9" s="21">
        <f>3.29%</f>
        <v>3.2899999999999999E-2</v>
      </c>
      <c r="AN9" s="48"/>
      <c r="AO9" s="45">
        <v>45298</v>
      </c>
      <c r="AP9" s="46">
        <v>1868.25</v>
      </c>
      <c r="AQ9" s="64">
        <f>19.24%</f>
        <v>0.19239999999999999</v>
      </c>
      <c r="AR9" s="36"/>
      <c r="AS9" s="62">
        <v>45298</v>
      </c>
      <c r="AT9" s="24">
        <v>58.05</v>
      </c>
      <c r="AU9" s="63">
        <v>-2.2700000000000001E-2</v>
      </c>
      <c r="AV9" s="48"/>
      <c r="AW9" s="45">
        <v>45298</v>
      </c>
      <c r="AX9" s="37">
        <v>416</v>
      </c>
      <c r="AY9" s="47">
        <f>9.95%</f>
        <v>9.9499999999999991E-2</v>
      </c>
      <c r="AZ9" s="51"/>
      <c r="BA9" s="45">
        <v>45298</v>
      </c>
      <c r="BB9" s="46">
        <v>5488.45</v>
      </c>
      <c r="BC9" s="38">
        <v>-1.6299999999999999E-2</v>
      </c>
      <c r="BD9" s="61"/>
      <c r="BE9" s="45">
        <v>45298</v>
      </c>
      <c r="BF9" s="46">
        <v>2694.92</v>
      </c>
      <c r="BG9" s="38">
        <f>9.41%</f>
        <v>9.4100000000000003E-2</v>
      </c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</row>
    <row r="10" spans="1:72" s="6" customFormat="1" ht="15" x14ac:dyDescent="0.25">
      <c r="A10" s="45">
        <v>45297</v>
      </c>
      <c r="B10" s="37">
        <v>989.75</v>
      </c>
      <c r="C10" s="38">
        <v>7.5600000000000001E-2</v>
      </c>
      <c r="D10" s="28"/>
      <c r="E10" s="39">
        <v>45297</v>
      </c>
      <c r="F10" s="40">
        <v>1199.5999999999999</v>
      </c>
      <c r="G10" s="41">
        <f>7.01%</f>
        <v>7.0099999999999996E-2</v>
      </c>
      <c r="H10" s="28"/>
      <c r="I10" s="42">
        <v>45297</v>
      </c>
      <c r="J10" s="43">
        <v>143.72</v>
      </c>
      <c r="K10" s="44">
        <v>-4.9200000000000001E-2</v>
      </c>
      <c r="L10" s="28"/>
      <c r="M10" s="45">
        <v>45297</v>
      </c>
      <c r="N10" s="46">
        <v>12033.85</v>
      </c>
      <c r="O10" s="38">
        <v>-2.9499999999999998E-2</v>
      </c>
      <c r="P10" s="61"/>
      <c r="Q10" s="49">
        <v>45444</v>
      </c>
      <c r="R10" s="8">
        <v>2821.85</v>
      </c>
      <c r="S10" s="50">
        <v>0.1966</v>
      </c>
      <c r="T10" s="61"/>
      <c r="U10" s="45">
        <v>45297</v>
      </c>
      <c r="V10" s="8">
        <v>3229</v>
      </c>
      <c r="W10" s="50">
        <v>6.8500000000000005E-2</v>
      </c>
      <c r="X10" s="36"/>
      <c r="Y10" s="45">
        <v>45297</v>
      </c>
      <c r="Z10" s="37">
        <v>931.5</v>
      </c>
      <c r="AA10" s="47">
        <f>5.79%</f>
        <v>5.79E-2</v>
      </c>
      <c r="AB10" s="51"/>
      <c r="AC10" s="52">
        <v>45297</v>
      </c>
      <c r="AD10" s="53">
        <v>2364.85</v>
      </c>
      <c r="AE10" s="54">
        <v>8.5199999999999998E-2</v>
      </c>
      <c r="AF10" s="36"/>
      <c r="AG10" s="55">
        <v>45297</v>
      </c>
      <c r="AH10" s="56">
        <v>129459.15</v>
      </c>
      <c r="AI10" s="57">
        <v>3.1300000000000001E-2</v>
      </c>
      <c r="AJ10" s="36"/>
      <c r="AK10" s="58">
        <v>45297</v>
      </c>
      <c r="AL10" s="59">
        <v>1444.05</v>
      </c>
      <c r="AM10" s="60">
        <f>5.19%</f>
        <v>5.1900000000000002E-2</v>
      </c>
      <c r="AN10" s="61"/>
      <c r="AO10" s="45">
        <v>45297</v>
      </c>
      <c r="AP10" s="46">
        <v>1566.75</v>
      </c>
      <c r="AQ10" s="64">
        <f>11.36%</f>
        <v>0.11359999999999999</v>
      </c>
      <c r="AR10" s="36"/>
      <c r="AS10" s="62">
        <v>45297</v>
      </c>
      <c r="AT10" s="24">
        <v>59.4</v>
      </c>
      <c r="AU10" s="63">
        <v>0.10100000000000001</v>
      </c>
      <c r="AV10" s="61"/>
      <c r="AW10" s="45">
        <v>45297</v>
      </c>
      <c r="AX10" s="37">
        <v>378.35</v>
      </c>
      <c r="AY10" s="38">
        <f>5.39%</f>
        <v>5.3899999999999997E-2</v>
      </c>
      <c r="AZ10" s="51"/>
      <c r="BA10" s="45">
        <v>45297</v>
      </c>
      <c r="BB10" s="46">
        <v>5579.6</v>
      </c>
      <c r="BC10" s="38">
        <f>8.87%</f>
        <v>8.8699999999999987E-2</v>
      </c>
      <c r="BD10" s="61"/>
      <c r="BE10" s="45">
        <v>45297</v>
      </c>
      <c r="BF10" s="46">
        <v>2463.2399999999998</v>
      </c>
      <c r="BG10" s="38">
        <f>6.18%</f>
        <v>6.1799999999999994E-2</v>
      </c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</row>
    <row r="11" spans="1:72" s="6" customFormat="1" ht="15" x14ac:dyDescent="0.25">
      <c r="A11" s="45">
        <v>45296</v>
      </c>
      <c r="B11" s="37">
        <v>920.16</v>
      </c>
      <c r="C11" s="38">
        <v>8.4199999999999997E-2</v>
      </c>
      <c r="D11" s="28"/>
      <c r="E11" s="39">
        <v>45296</v>
      </c>
      <c r="F11" s="40">
        <v>1121.05</v>
      </c>
      <c r="G11" s="41">
        <v>-2.5499999999999998E-2</v>
      </c>
      <c r="H11" s="28"/>
      <c r="I11" s="42">
        <v>45296</v>
      </c>
      <c r="J11" s="43">
        <v>151.16</v>
      </c>
      <c r="K11" s="44">
        <f>23.41%</f>
        <v>0.2341</v>
      </c>
      <c r="L11" s="28"/>
      <c r="M11" s="45">
        <v>45296</v>
      </c>
      <c r="N11" s="46">
        <v>12399.3</v>
      </c>
      <c r="O11" s="38">
        <v>-3.2599999999999997E-2</v>
      </c>
      <c r="P11" s="61"/>
      <c r="Q11" s="49">
        <v>45413</v>
      </c>
      <c r="R11" s="8">
        <v>2358.1999999999998</v>
      </c>
      <c r="S11" s="50">
        <v>-8.2100000000000006E-2</v>
      </c>
      <c r="T11" s="61"/>
      <c r="U11" s="45">
        <v>45296</v>
      </c>
      <c r="V11" s="8">
        <v>3022</v>
      </c>
      <c r="W11" s="50">
        <v>0.2437</v>
      </c>
      <c r="X11" s="36"/>
      <c r="Y11" s="45">
        <v>45296</v>
      </c>
      <c r="Z11" s="37">
        <v>880.55</v>
      </c>
      <c r="AA11" s="38">
        <v>-1.9E-3</v>
      </c>
      <c r="AB11" s="51"/>
      <c r="AC11" s="52">
        <v>45296</v>
      </c>
      <c r="AD11" s="53">
        <v>2179.25</v>
      </c>
      <c r="AE11" s="54">
        <v>5.79E-2</v>
      </c>
      <c r="AF11" s="36"/>
      <c r="AG11" s="55">
        <v>45296</v>
      </c>
      <c r="AH11" s="56">
        <v>125524.1</v>
      </c>
      <c r="AI11" s="57">
        <v>-5.6300000000000003E-2</v>
      </c>
      <c r="AJ11" s="36"/>
      <c r="AK11" s="58">
        <v>45296</v>
      </c>
      <c r="AL11" s="59">
        <v>1372.75</v>
      </c>
      <c r="AM11" s="60">
        <f>3.82%</f>
        <v>3.8199999999999998E-2</v>
      </c>
      <c r="AN11" s="61"/>
      <c r="AO11" s="45">
        <v>45296</v>
      </c>
      <c r="AP11" s="46">
        <v>1406.9</v>
      </c>
      <c r="AQ11" s="38">
        <v>-4.0000000000000001E-3</v>
      </c>
      <c r="AR11" s="36"/>
      <c r="AS11" s="62">
        <v>45296</v>
      </c>
      <c r="AT11" s="24">
        <v>53.95</v>
      </c>
      <c r="AU11" s="63">
        <v>6.83E-2</v>
      </c>
      <c r="AV11" s="61"/>
      <c r="AW11" s="45">
        <v>45296</v>
      </c>
      <c r="AX11" s="37">
        <v>359</v>
      </c>
      <c r="AY11" s="38">
        <v>-1.1599999999999999E-2</v>
      </c>
      <c r="AZ11" s="51"/>
      <c r="BA11" s="45">
        <v>45296</v>
      </c>
      <c r="BB11" s="46">
        <v>5125.2</v>
      </c>
      <c r="BC11" s="38">
        <f>12.81%</f>
        <v>0.12809999999999999</v>
      </c>
      <c r="BD11" s="61"/>
      <c r="BE11" s="45">
        <v>45296</v>
      </c>
      <c r="BF11" s="46">
        <v>2319.81</v>
      </c>
      <c r="BG11" s="38">
        <f>4.42%</f>
        <v>4.4199999999999996E-2</v>
      </c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</row>
    <row r="12" spans="1:72" s="6" customFormat="1" ht="15" x14ac:dyDescent="0.25">
      <c r="A12" s="45">
        <v>45295</v>
      </c>
      <c r="B12" s="46">
        <v>1004.8</v>
      </c>
      <c r="C12" s="38">
        <f>1.52%</f>
        <v>1.52E-2</v>
      </c>
      <c r="D12" s="28"/>
      <c r="E12" s="39">
        <v>45295</v>
      </c>
      <c r="F12" s="40">
        <v>1150.4000000000001</v>
      </c>
      <c r="G12" s="41">
        <f>5.22%</f>
        <v>5.2199999999999996E-2</v>
      </c>
      <c r="H12" s="28"/>
      <c r="I12" s="42">
        <v>45295</v>
      </c>
      <c r="J12" s="43">
        <v>122.49</v>
      </c>
      <c r="K12" s="44">
        <f>14.73%</f>
        <v>0.14730000000000001</v>
      </c>
      <c r="L12" s="28"/>
      <c r="M12" s="45">
        <v>45295</v>
      </c>
      <c r="N12" s="46">
        <v>12817.5</v>
      </c>
      <c r="O12" s="47">
        <f>1.72%</f>
        <v>1.72E-2</v>
      </c>
      <c r="P12" s="48"/>
      <c r="Q12" s="49">
        <v>45383</v>
      </c>
      <c r="R12" s="8">
        <v>2569</v>
      </c>
      <c r="S12" s="50">
        <v>-4.2299999999999997E-2</v>
      </c>
      <c r="T12" s="48"/>
      <c r="U12" s="45">
        <v>45295</v>
      </c>
      <c r="V12" s="8">
        <v>2429.9</v>
      </c>
      <c r="W12" s="50">
        <v>4.8599999999999997E-2</v>
      </c>
      <c r="X12" s="36"/>
      <c r="Y12" s="45">
        <v>45295</v>
      </c>
      <c r="Z12" s="37">
        <v>882.2</v>
      </c>
      <c r="AA12" s="47">
        <f>6.26%</f>
        <v>6.2600000000000003E-2</v>
      </c>
      <c r="AB12" s="51"/>
      <c r="AC12" s="52">
        <v>45295</v>
      </c>
      <c r="AD12" s="53">
        <v>2060</v>
      </c>
      <c r="AE12" s="54">
        <v>-4.2700000000000002E-2</v>
      </c>
      <c r="AF12" s="36"/>
      <c r="AG12" s="55">
        <v>45295</v>
      </c>
      <c r="AH12" s="56">
        <v>133019.45000000001</v>
      </c>
      <c r="AI12" s="57">
        <v>-2.8E-3</v>
      </c>
      <c r="AJ12" s="36"/>
      <c r="AK12" s="58">
        <v>45295</v>
      </c>
      <c r="AL12" s="59">
        <v>1322.3</v>
      </c>
      <c r="AM12" s="60">
        <f>7.63%</f>
        <v>7.6299999999999993E-2</v>
      </c>
      <c r="AN12" s="61"/>
      <c r="AO12" s="45">
        <v>45295</v>
      </c>
      <c r="AP12" s="46">
        <v>1412.59</v>
      </c>
      <c r="AQ12" s="38">
        <v>-5.1700000000000003E-2</v>
      </c>
      <c r="AR12" s="36"/>
      <c r="AS12" s="62">
        <v>45295</v>
      </c>
      <c r="AT12" s="24">
        <v>50.5</v>
      </c>
      <c r="AU12" s="63">
        <v>-9.7999999999999997E-3</v>
      </c>
      <c r="AV12" s="61"/>
      <c r="AW12" s="45">
        <v>45295</v>
      </c>
      <c r="AX12" s="37">
        <v>363.2</v>
      </c>
      <c r="AY12" s="38">
        <f>8.16%</f>
        <v>8.1600000000000006E-2</v>
      </c>
      <c r="AZ12" s="51"/>
      <c r="BA12" s="45">
        <v>45295</v>
      </c>
      <c r="BB12" s="46">
        <v>4543.05</v>
      </c>
      <c r="BC12" s="38">
        <v>-3.7999999999999999E-2</v>
      </c>
      <c r="BD12" s="61"/>
      <c r="BE12" s="45">
        <v>45295</v>
      </c>
      <c r="BF12" s="46">
        <v>2221.6</v>
      </c>
      <c r="BG12" s="38">
        <v>-1.4999999999999999E-2</v>
      </c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</row>
    <row r="13" spans="1:72" s="6" customFormat="1" ht="15" x14ac:dyDescent="0.25">
      <c r="A13" s="45">
        <v>45294</v>
      </c>
      <c r="B13" s="37">
        <v>989.75</v>
      </c>
      <c r="C13" s="38">
        <f>4.48%</f>
        <v>4.4800000000000006E-2</v>
      </c>
      <c r="D13" s="28"/>
      <c r="E13" s="39">
        <v>45294</v>
      </c>
      <c r="F13" s="40">
        <v>1093.3</v>
      </c>
      <c r="G13" s="41">
        <f>3.91%</f>
        <v>3.9100000000000003E-2</v>
      </c>
      <c r="H13" s="28"/>
      <c r="I13" s="42">
        <v>45294</v>
      </c>
      <c r="J13" s="43">
        <v>106.76</v>
      </c>
      <c r="K13" s="44">
        <v>-2.9399999999999999E-2</v>
      </c>
      <c r="L13" s="28"/>
      <c r="M13" s="45">
        <v>45294</v>
      </c>
      <c r="N13" s="46">
        <v>12600.35</v>
      </c>
      <c r="O13" s="47">
        <f>11.62%</f>
        <v>0.1162</v>
      </c>
      <c r="P13" s="48"/>
      <c r="Q13" s="49">
        <v>45352</v>
      </c>
      <c r="R13" s="8">
        <v>2682.4</v>
      </c>
      <c r="S13" s="50">
        <v>-6.0600000000000001E-2</v>
      </c>
      <c r="T13" s="48"/>
      <c r="U13" s="45">
        <v>45294</v>
      </c>
      <c r="V13" s="8">
        <v>2317.35</v>
      </c>
      <c r="W13" s="50">
        <v>3.9699999999999999E-2</v>
      </c>
      <c r="X13" s="36"/>
      <c r="Y13" s="45">
        <v>45294</v>
      </c>
      <c r="Z13" s="37">
        <v>830.2</v>
      </c>
      <c r="AA13" s="47">
        <f>3.76%</f>
        <v>3.7599999999999995E-2</v>
      </c>
      <c r="AB13" s="51"/>
      <c r="AC13" s="52">
        <v>45294</v>
      </c>
      <c r="AD13" s="53">
        <v>2151.85</v>
      </c>
      <c r="AE13" s="54">
        <v>5.8999999999999999E-3</v>
      </c>
      <c r="AF13" s="36"/>
      <c r="AG13" s="55">
        <v>45294</v>
      </c>
      <c r="AH13" s="56">
        <v>133387.34</v>
      </c>
      <c r="AI13" s="57">
        <v>-8.6900000000000005E-2</v>
      </c>
      <c r="AJ13" s="36"/>
      <c r="AK13" s="58">
        <v>45294</v>
      </c>
      <c r="AL13" s="59">
        <v>1228.5999999999999</v>
      </c>
      <c r="AM13" s="21">
        <f>9.37%</f>
        <v>9.3699999999999992E-2</v>
      </c>
      <c r="AN13" s="48"/>
      <c r="AO13" s="45">
        <v>45294</v>
      </c>
      <c r="AP13" s="46">
        <v>1489.66</v>
      </c>
      <c r="AQ13" s="38">
        <v>-0.1051</v>
      </c>
      <c r="AR13" s="36"/>
      <c r="AS13" s="62">
        <v>45294</v>
      </c>
      <c r="AT13" s="24">
        <v>51</v>
      </c>
      <c r="AU13" s="63">
        <v>-0.1192</v>
      </c>
      <c r="AV13" s="61"/>
      <c r="AW13" s="45">
        <v>45294</v>
      </c>
      <c r="AX13" s="37">
        <v>335.8</v>
      </c>
      <c r="AY13" s="38">
        <f>0.06%</f>
        <v>5.9999999999999995E-4</v>
      </c>
      <c r="AZ13" s="51"/>
      <c r="BA13" s="45">
        <v>45294</v>
      </c>
      <c r="BB13" s="46">
        <v>4722.3</v>
      </c>
      <c r="BC13" s="38">
        <f>6.68%</f>
        <v>6.6799999999999998E-2</v>
      </c>
      <c r="BD13" s="61"/>
      <c r="BE13" s="45">
        <v>45294</v>
      </c>
      <c r="BF13" s="46">
        <v>2255.37</v>
      </c>
      <c r="BG13" s="38">
        <v>6.13E-2</v>
      </c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</row>
    <row r="14" spans="1:72" s="6" customFormat="1" ht="15" x14ac:dyDescent="0.25">
      <c r="A14" s="45">
        <v>45293</v>
      </c>
      <c r="B14" s="37">
        <v>947.28</v>
      </c>
      <c r="C14" s="38">
        <f>7.46%</f>
        <v>7.46E-2</v>
      </c>
      <c r="D14" s="28"/>
      <c r="E14" s="39">
        <v>45293</v>
      </c>
      <c r="F14" s="40">
        <v>1052.2</v>
      </c>
      <c r="G14" s="41">
        <f>2.34%</f>
        <v>2.3399999999999997E-2</v>
      </c>
      <c r="H14" s="28"/>
      <c r="I14" s="42">
        <v>45293</v>
      </c>
      <c r="J14" s="43">
        <v>109.99</v>
      </c>
      <c r="K14" s="44">
        <v>-2.2700000000000001E-2</v>
      </c>
      <c r="L14" s="28"/>
      <c r="M14" s="45">
        <v>45293</v>
      </c>
      <c r="N14" s="46">
        <v>11288.35</v>
      </c>
      <c r="O14" s="47">
        <f>11.08%</f>
        <v>0.1108</v>
      </c>
      <c r="P14" s="48"/>
      <c r="Q14" s="49">
        <v>45323</v>
      </c>
      <c r="R14" s="8">
        <v>2855.4</v>
      </c>
      <c r="S14" s="50">
        <v>7.7299999999999994E-2</v>
      </c>
      <c r="T14" s="48"/>
      <c r="U14" s="45">
        <v>45293</v>
      </c>
      <c r="V14" s="8">
        <v>2228.9499999999998</v>
      </c>
      <c r="W14" s="50">
        <v>-9.1800000000000007E-2</v>
      </c>
      <c r="X14" s="36"/>
      <c r="Y14" s="45">
        <v>45293</v>
      </c>
      <c r="Z14" s="37">
        <v>800.1</v>
      </c>
      <c r="AA14" s="38">
        <v>-2.2700000000000001E-2</v>
      </c>
      <c r="AB14" s="51"/>
      <c r="AC14" s="52">
        <v>45293</v>
      </c>
      <c r="AD14" s="53">
        <v>2139.1999999999998</v>
      </c>
      <c r="AE14" s="54">
        <v>7.1499999999999994E-2</v>
      </c>
      <c r="AF14" s="36"/>
      <c r="AG14" s="55">
        <v>45293</v>
      </c>
      <c r="AH14" s="56">
        <v>146081.54999999999</v>
      </c>
      <c r="AI14" s="57">
        <v>2.75E-2</v>
      </c>
      <c r="AJ14" s="36"/>
      <c r="AK14" s="58">
        <v>45293</v>
      </c>
      <c r="AL14" s="59">
        <v>1123.3499999999999</v>
      </c>
      <c r="AM14" s="60">
        <v>-4.0399999999999998E-2</v>
      </c>
      <c r="AN14" s="61"/>
      <c r="AO14" s="45">
        <v>45293</v>
      </c>
      <c r="AP14" s="46">
        <v>1664.52</v>
      </c>
      <c r="AQ14" s="64">
        <f>0.78%</f>
        <v>7.8000000000000005E-3</v>
      </c>
      <c r="AR14" s="36"/>
      <c r="AS14" s="62">
        <v>45293</v>
      </c>
      <c r="AT14" s="24">
        <v>57.9</v>
      </c>
      <c r="AU14" s="63">
        <v>-0.10920000000000001</v>
      </c>
      <c r="AV14" s="61"/>
      <c r="AW14" s="45">
        <v>45293</v>
      </c>
      <c r="AX14" s="37">
        <v>335.6</v>
      </c>
      <c r="AY14" s="38">
        <f>5.7%</f>
        <v>5.7000000000000002E-2</v>
      </c>
      <c r="AZ14" s="51"/>
      <c r="BA14" s="45">
        <v>45293</v>
      </c>
      <c r="BB14" s="46">
        <v>4426.5</v>
      </c>
      <c r="BC14" s="38">
        <v>4.19E-2</v>
      </c>
      <c r="BD14" s="61"/>
      <c r="BE14" s="45">
        <v>45293</v>
      </c>
      <c r="BF14" s="46">
        <v>2402.73</v>
      </c>
      <c r="BG14" s="38">
        <v>-2.7900000000000001E-2</v>
      </c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</row>
    <row r="15" spans="1:72" s="6" customFormat="1" ht="15" x14ac:dyDescent="0.25">
      <c r="A15" s="45">
        <v>45292</v>
      </c>
      <c r="B15" s="37">
        <v>881.48</v>
      </c>
      <c r="C15" s="38">
        <f>13.37%</f>
        <v>0.13369999999999999</v>
      </c>
      <c r="D15" s="28"/>
      <c r="E15" s="39">
        <v>45292</v>
      </c>
      <c r="F15" s="40">
        <v>1028.1500000000001</v>
      </c>
      <c r="G15" s="41">
        <f>3.17%</f>
        <v>3.1699999999999999E-2</v>
      </c>
      <c r="H15" s="28"/>
      <c r="I15" s="42">
        <v>45292</v>
      </c>
      <c r="J15" s="43">
        <v>112.54</v>
      </c>
      <c r="K15" s="44">
        <f>7.15%</f>
        <v>7.1500000000000008E-2</v>
      </c>
      <c r="L15" s="28"/>
      <c r="M15" s="45">
        <v>45292</v>
      </c>
      <c r="N15" s="46">
        <v>10162.700000000001</v>
      </c>
      <c r="O15" s="38">
        <v>-1.3599999999999999E-2</v>
      </c>
      <c r="P15" s="61"/>
      <c r="Q15" s="49">
        <v>45292</v>
      </c>
      <c r="R15" s="8">
        <v>2650.5</v>
      </c>
      <c r="S15" s="50">
        <v>9.2100000000000001E-2</v>
      </c>
      <c r="T15" s="61"/>
      <c r="U15" s="45">
        <v>45292</v>
      </c>
      <c r="V15" s="8">
        <v>2454.25</v>
      </c>
      <c r="W15" s="50">
        <v>-4.4499999999999998E-2</v>
      </c>
      <c r="X15" s="36"/>
      <c r="Y15" s="45">
        <v>45292</v>
      </c>
      <c r="Z15" s="37">
        <v>818.65</v>
      </c>
      <c r="AA15" s="38">
        <v>-7.0000000000000007E-2</v>
      </c>
      <c r="AB15" s="51"/>
      <c r="AC15" s="52">
        <v>45292</v>
      </c>
      <c r="AD15" s="65">
        <v>1996.4</v>
      </c>
      <c r="AE15" s="66">
        <v>-1.4500000000000001E-2</v>
      </c>
      <c r="AF15" s="36"/>
      <c r="AG15" s="55">
        <v>45292</v>
      </c>
      <c r="AH15" s="56">
        <v>142171.41</v>
      </c>
      <c r="AI15" s="57">
        <v>9.7199999999999995E-2</v>
      </c>
      <c r="AJ15" s="36"/>
      <c r="AK15" s="58">
        <v>45292</v>
      </c>
      <c r="AL15" s="59">
        <v>1170.7</v>
      </c>
      <c r="AM15" s="60">
        <f>13.42%</f>
        <v>0.13419999999999999</v>
      </c>
      <c r="AN15" s="61"/>
      <c r="AO15" s="45">
        <v>45292</v>
      </c>
      <c r="AP15" s="67">
        <v>1651.59</v>
      </c>
      <c r="AQ15" s="68">
        <f>7.65%</f>
        <v>7.6499999999999999E-2</v>
      </c>
      <c r="AR15" s="61"/>
      <c r="AS15" s="62">
        <v>45292</v>
      </c>
      <c r="AT15" s="24">
        <v>65</v>
      </c>
      <c r="AU15" s="63">
        <v>-7.6E-3</v>
      </c>
      <c r="AV15" s="69"/>
      <c r="AW15" s="45">
        <v>45292</v>
      </c>
      <c r="AX15" s="37">
        <v>317.5</v>
      </c>
      <c r="AY15" s="38">
        <f>2.04%</f>
        <v>2.0400000000000001E-2</v>
      </c>
      <c r="AZ15" s="51"/>
      <c r="BA15" s="45">
        <v>45292</v>
      </c>
      <c r="BB15" s="46">
        <v>4620</v>
      </c>
      <c r="BC15" s="38">
        <f>11.61%</f>
        <v>0.11609999999999999</v>
      </c>
      <c r="BD15" s="61"/>
      <c r="BE15" s="45">
        <v>45292</v>
      </c>
      <c r="BF15" s="46">
        <v>2471.71</v>
      </c>
      <c r="BG15" s="38">
        <v>-6.8500000000000005E-2</v>
      </c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</row>
    <row r="16" spans="1:72" s="6" customFormat="1" ht="13.8" x14ac:dyDescent="0.25">
      <c r="A16" s="70"/>
      <c r="B16" s="70"/>
      <c r="C16" s="70"/>
      <c r="D16" s="28"/>
      <c r="E16" s="15"/>
      <c r="F16" s="15"/>
      <c r="G16" s="15"/>
      <c r="H16" s="28"/>
      <c r="I16" s="71"/>
      <c r="J16" s="71"/>
      <c r="K16" s="71"/>
      <c r="L16" s="28"/>
      <c r="M16" s="72"/>
      <c r="N16" s="72"/>
      <c r="O16" s="72"/>
      <c r="P16" s="73"/>
      <c r="Q16" s="72"/>
      <c r="R16" s="72"/>
      <c r="S16" s="72"/>
      <c r="T16" s="73"/>
      <c r="U16" s="72"/>
      <c r="V16" s="72"/>
      <c r="W16" s="72"/>
      <c r="X16" s="74"/>
      <c r="Y16" s="72"/>
      <c r="Z16" s="72"/>
      <c r="AA16" s="72"/>
      <c r="AB16" s="28"/>
      <c r="AC16" s="75"/>
      <c r="AD16" s="75"/>
      <c r="AE16" s="75"/>
      <c r="AF16" s="28"/>
      <c r="AG16" s="76"/>
      <c r="AH16" s="76"/>
      <c r="AI16" s="76"/>
      <c r="AJ16" s="28"/>
      <c r="AK16" s="21"/>
      <c r="AL16" s="21"/>
      <c r="AM16" s="21"/>
      <c r="AN16" s="73"/>
      <c r="AO16" s="72"/>
      <c r="AP16" s="72"/>
      <c r="AQ16" s="72"/>
      <c r="AR16" s="28"/>
      <c r="AS16" s="24"/>
      <c r="AT16" s="24"/>
      <c r="AU16" s="24"/>
      <c r="AV16" s="28"/>
      <c r="AW16" s="72"/>
      <c r="AX16" s="72"/>
      <c r="AY16" s="72"/>
      <c r="AZ16" s="28"/>
      <c r="BA16" s="72"/>
      <c r="BB16" s="72"/>
      <c r="BC16" s="72"/>
      <c r="BD16" s="28"/>
      <c r="BE16" s="72"/>
      <c r="BF16" s="72"/>
      <c r="BG16" s="72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</row>
    <row r="17" spans="1:72" s="6" customFormat="1" ht="13.8" x14ac:dyDescent="0.25">
      <c r="A17" s="70" t="s">
        <v>25</v>
      </c>
      <c r="B17" s="77"/>
      <c r="C17" s="78">
        <f>AVERAGE(C3:C15)</f>
        <v>1.0899999999999991E-2</v>
      </c>
      <c r="D17" s="79"/>
      <c r="E17" s="41"/>
      <c r="F17" s="41"/>
      <c r="G17" s="41">
        <f>AVERAGE(G3:G15)</f>
        <v>1.8130769230769232E-2</v>
      </c>
      <c r="H17" s="79"/>
      <c r="I17" s="80"/>
      <c r="J17" s="80"/>
      <c r="K17" s="80">
        <f>AVERAGE(K3:K15)</f>
        <v>2.4169230769230773E-2</v>
      </c>
      <c r="L17" s="79"/>
      <c r="M17" s="81"/>
      <c r="N17" s="81"/>
      <c r="O17" s="81">
        <f>AVERAGE(O3:O15)</f>
        <v>1.7084615384615382E-2</v>
      </c>
      <c r="P17" s="82"/>
      <c r="Q17" s="81"/>
      <c r="R17" s="81"/>
      <c r="S17" s="81">
        <f>AVERAGE(S3:S15)</f>
        <v>1.7223076923076921E-2</v>
      </c>
      <c r="T17" s="82"/>
      <c r="U17" s="81"/>
      <c r="V17" s="81"/>
      <c r="W17" s="81">
        <f>AVERAGE(W3:W15)</f>
        <v>1.0146153846153852E-2</v>
      </c>
      <c r="X17" s="83"/>
      <c r="Y17" s="81"/>
      <c r="Z17" s="81"/>
      <c r="AA17" s="81">
        <f>AVERAGE(AA3:AA15)</f>
        <v>6.7461538461538444E-3</v>
      </c>
      <c r="AB17" s="79"/>
      <c r="AC17" s="84"/>
      <c r="AD17" s="84"/>
      <c r="AE17" s="84">
        <f>AVERAGE(AE3:AE15)</f>
        <v>1.6876923076923071E-2</v>
      </c>
      <c r="AF17" s="79"/>
      <c r="AG17" s="85"/>
      <c r="AH17" s="85"/>
      <c r="AI17" s="85">
        <f>AVERAGE(AI3:AI15)</f>
        <v>1.0346153846153845E-2</v>
      </c>
      <c r="AJ17" s="79"/>
      <c r="AK17" s="60"/>
      <c r="AL17" s="60"/>
      <c r="AM17" s="60">
        <f>AVERAGE(AM3:AM15)</f>
        <v>3.6953846153846157E-2</v>
      </c>
      <c r="AN17" s="82"/>
      <c r="AO17" s="81"/>
      <c r="AP17" s="81"/>
      <c r="AQ17" s="81">
        <f>AVERAGE(AQ3:AQ15)</f>
        <v>1.852307692307692E-2</v>
      </c>
      <c r="AR17" s="79"/>
      <c r="AS17" s="63"/>
      <c r="AT17" s="63"/>
      <c r="AU17" s="63">
        <f>SUM(AU3:AU15)</f>
        <v>1.7500000000000054E-2</v>
      </c>
      <c r="AV17" s="79"/>
      <c r="AW17" s="81"/>
      <c r="AX17" s="81"/>
      <c r="AY17" s="81">
        <f>AVERAGE(AY3:AY15)</f>
        <v>1.7999999999999999E-2</v>
      </c>
      <c r="AZ17" s="79"/>
      <c r="BA17" s="81"/>
      <c r="BB17" s="81"/>
      <c r="BC17" s="81">
        <f>AVERAGE(BC3:BC15)</f>
        <v>1.3299999999999998E-2</v>
      </c>
      <c r="BD17" s="79"/>
      <c r="BE17" s="81"/>
      <c r="BF17" s="81"/>
      <c r="BG17" s="81">
        <f>AVERAGE(BG3:BG15)</f>
        <v>6.199999999999998E-3</v>
      </c>
      <c r="BH17" s="8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</row>
    <row r="18" spans="1:72" s="6" customFormat="1" ht="13.2" x14ac:dyDescent="0.25">
      <c r="A18" s="87"/>
      <c r="B18" s="87"/>
      <c r="C18" s="8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74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</row>
    <row r="19" spans="1:72" s="6" customFormat="1" ht="13.2" x14ac:dyDescent="0.25">
      <c r="A19" s="87"/>
      <c r="B19" s="89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74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</row>
    <row r="20" spans="1:72" s="6" customFormat="1" ht="13.2" x14ac:dyDescent="0.25">
      <c r="A20" s="87"/>
      <c r="B20" s="87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74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</row>
    <row r="21" spans="1:72" s="6" customFormat="1" ht="13.2" x14ac:dyDescent="0.25">
      <c r="A21" s="17" t="s">
        <v>15</v>
      </c>
      <c r="B21" s="17" t="s">
        <v>14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74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</row>
    <row r="22" spans="1:72" s="6" customFormat="1" ht="13.2" x14ac:dyDescent="0.25">
      <c r="A22" s="8">
        <v>23508.400000000001</v>
      </c>
      <c r="B22" s="50">
        <v>-5.7999999999999996E-3</v>
      </c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74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</row>
    <row r="23" spans="1:72" s="6" customFormat="1" ht="13.2" x14ac:dyDescent="0.25">
      <c r="A23" s="8">
        <v>23644.799999999999</v>
      </c>
      <c r="B23" s="50">
        <v>-2.0199999999999999E-2</v>
      </c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74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</row>
    <row r="24" spans="1:72" s="6" customFormat="1" ht="13.2" x14ac:dyDescent="0.25">
      <c r="A24" s="8">
        <v>24131.1</v>
      </c>
      <c r="B24" s="50">
        <v>-3.0999999999999999E-3</v>
      </c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74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</row>
    <row r="25" spans="1:72" s="6" customFormat="1" ht="13.2" x14ac:dyDescent="0.25">
      <c r="A25" s="8">
        <v>24205.35</v>
      </c>
      <c r="B25" s="50">
        <v>-6.2199999999999998E-2</v>
      </c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</row>
    <row r="26" spans="1:72" s="6" customFormat="1" ht="13.2" x14ac:dyDescent="0.25">
      <c r="A26" s="8">
        <v>25810.85</v>
      </c>
      <c r="B26" s="50">
        <v>2.2800000000000001E-2</v>
      </c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</row>
    <row r="27" spans="1:72" s="6" customFormat="1" ht="13.2" x14ac:dyDescent="0.25">
      <c r="A27" s="8">
        <v>25235.9</v>
      </c>
      <c r="B27" s="50">
        <v>1.14E-2</v>
      </c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</row>
    <row r="28" spans="1:72" s="6" customFormat="1" ht="13.2" x14ac:dyDescent="0.25">
      <c r="A28" s="8">
        <v>24951.15</v>
      </c>
      <c r="B28" s="50">
        <v>3.9199999999999999E-2</v>
      </c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</row>
    <row r="29" spans="1:72" s="6" customFormat="1" ht="13.2" x14ac:dyDescent="0.25">
      <c r="A29" s="8">
        <v>24010.6</v>
      </c>
      <c r="B29" s="50">
        <v>6.5699999999999995E-2</v>
      </c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</row>
    <row r="30" spans="1:72" s="6" customFormat="1" ht="13.2" x14ac:dyDescent="0.25">
      <c r="A30" s="8">
        <v>22530.7</v>
      </c>
      <c r="B30" s="50">
        <v>-3.3E-3</v>
      </c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</row>
    <row r="31" spans="1:72" s="6" customFormat="1" ht="13.2" x14ac:dyDescent="0.25">
      <c r="A31" s="8">
        <v>22604.85</v>
      </c>
      <c r="B31" s="50">
        <v>1.24E-2</v>
      </c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</row>
    <row r="32" spans="1:72" s="6" customFormat="1" ht="13.2" x14ac:dyDescent="0.25">
      <c r="A32" s="8">
        <v>22326.9</v>
      </c>
      <c r="B32" s="50">
        <v>1.5699999999999999E-2</v>
      </c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</row>
    <row r="33" spans="1:72" s="6" customFormat="1" ht="13.2" x14ac:dyDescent="0.25">
      <c r="A33" s="8">
        <v>21982.799999999999</v>
      </c>
      <c r="B33" s="50">
        <v>1.18E-2</v>
      </c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</row>
    <row r="34" spans="1:72" s="6" customFormat="1" ht="13.2" x14ac:dyDescent="0.25">
      <c r="A34" s="8">
        <v>21725.7</v>
      </c>
      <c r="B34" s="50">
        <v>-2.9999999999999997E-4</v>
      </c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</row>
    <row r="35" spans="1:72" s="6" customFormat="1" ht="13.2" x14ac:dyDescent="0.25">
      <c r="A35" s="30"/>
      <c r="B35" s="30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</row>
    <row r="36" spans="1:72" s="6" customFormat="1" ht="13.2" x14ac:dyDescent="0.25">
      <c r="A36" s="93" t="s">
        <v>16</v>
      </c>
      <c r="B36" s="50">
        <f>AVERAGE(B22:B34)</f>
        <v>6.4692307692307697E-3</v>
      </c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</row>
    <row r="37" spans="1:72" s="6" customFormat="1" ht="13.2" x14ac:dyDescent="0.25">
      <c r="A37" s="87"/>
      <c r="B37" s="87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74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</row>
    <row r="38" spans="1:72" s="6" customFormat="1" ht="13.2" x14ac:dyDescent="0.25">
      <c r="A38" s="87"/>
      <c r="B38" s="87"/>
      <c r="C38" s="28"/>
      <c r="D38" s="28"/>
      <c r="E38" s="28"/>
      <c r="F38" s="74"/>
      <c r="G38" s="28"/>
      <c r="H38" s="28"/>
      <c r="I38" s="28"/>
      <c r="J38" s="28"/>
      <c r="K38" s="28"/>
      <c r="L38" s="28"/>
      <c r="M38" s="28"/>
      <c r="N38" s="74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74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74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74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</row>
    <row r="39" spans="1:72" s="6" customFormat="1" ht="13.2" x14ac:dyDescent="0.25">
      <c r="A39" s="90"/>
      <c r="B39" s="13" t="s">
        <v>17</v>
      </c>
      <c r="C39" s="28"/>
      <c r="D39" s="28"/>
      <c r="E39" s="28"/>
      <c r="F39" s="74"/>
      <c r="G39" s="28"/>
      <c r="H39" s="28"/>
      <c r="I39" s="28"/>
      <c r="J39" s="28"/>
      <c r="K39" s="28"/>
      <c r="L39" s="28"/>
      <c r="M39" s="28"/>
      <c r="N39" s="74"/>
      <c r="O39" s="28"/>
      <c r="P39" s="28"/>
      <c r="Q39" s="28"/>
      <c r="R39" s="74"/>
      <c r="S39" s="28"/>
      <c r="T39" s="28"/>
      <c r="U39" s="28"/>
      <c r="V39" s="74"/>
      <c r="W39" s="28"/>
      <c r="X39" s="28"/>
      <c r="Y39" s="28"/>
      <c r="Z39" s="74"/>
      <c r="AA39" s="28"/>
      <c r="AB39" s="28"/>
      <c r="AC39" s="28"/>
      <c r="AD39" s="74"/>
      <c r="AE39" s="28"/>
      <c r="AF39" s="28"/>
      <c r="AG39" s="28"/>
      <c r="AH39" s="74"/>
      <c r="AI39" s="28"/>
      <c r="AJ39" s="28"/>
      <c r="AK39" s="28"/>
      <c r="AL39" s="28"/>
      <c r="AM39" s="28"/>
      <c r="AN39" s="28"/>
      <c r="AO39" s="28"/>
      <c r="AP39" s="74"/>
      <c r="AQ39" s="28"/>
      <c r="AR39" s="28"/>
      <c r="AS39" s="28"/>
      <c r="AT39" s="74"/>
      <c r="AU39" s="28"/>
      <c r="AV39" s="28"/>
      <c r="AW39" s="28"/>
      <c r="AX39" s="74"/>
      <c r="AY39" s="28"/>
      <c r="AZ39" s="28"/>
      <c r="BA39" s="28"/>
      <c r="BB39" s="74"/>
      <c r="BC39" s="28"/>
      <c r="BD39" s="28"/>
      <c r="BE39" s="28"/>
      <c r="BF39" s="74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</row>
    <row r="40" spans="1:72" s="6" customFormat="1" ht="13.8" thickBot="1" x14ac:dyDescent="0.3">
      <c r="A40" s="87"/>
      <c r="B40" s="90"/>
      <c r="C40" s="28"/>
      <c r="D40" s="28"/>
      <c r="E40" s="28"/>
      <c r="F40" s="74"/>
      <c r="G40" s="28"/>
      <c r="H40" s="28"/>
      <c r="I40" s="28"/>
      <c r="J40" s="74"/>
      <c r="K40" s="28"/>
      <c r="L40" s="28"/>
      <c r="M40" s="28"/>
      <c r="N40" s="74"/>
      <c r="O40" s="28"/>
      <c r="P40" s="28"/>
      <c r="Q40" s="28"/>
      <c r="R40" s="74"/>
      <c r="S40" s="28"/>
      <c r="T40" s="28"/>
      <c r="U40" s="28"/>
      <c r="V40" s="74"/>
      <c r="W40" s="28"/>
      <c r="X40" s="28"/>
      <c r="Y40" s="28"/>
      <c r="Z40" s="74"/>
      <c r="AA40" s="28"/>
      <c r="AB40" s="28"/>
      <c r="AC40" s="28"/>
      <c r="AD40" s="74"/>
      <c r="AE40" s="28"/>
      <c r="AF40" s="28"/>
      <c r="AG40" s="28"/>
      <c r="AH40" s="74"/>
      <c r="AI40" s="28"/>
      <c r="AJ40" s="28"/>
      <c r="AK40" s="28"/>
      <c r="AL40" s="74"/>
      <c r="AM40" s="28"/>
      <c r="AN40" s="28"/>
      <c r="AO40" s="28"/>
      <c r="AP40" s="74"/>
      <c r="AQ40" s="28"/>
      <c r="AR40" s="28"/>
      <c r="AS40" s="28"/>
      <c r="AT40" s="74"/>
      <c r="AU40" s="28"/>
      <c r="AV40" s="28"/>
      <c r="AW40" s="28"/>
      <c r="AX40" s="74"/>
      <c r="AY40" s="28"/>
      <c r="AZ40" s="28"/>
      <c r="BA40" s="28"/>
      <c r="BB40" s="74"/>
      <c r="BC40" s="28"/>
      <c r="BD40" s="28"/>
      <c r="BE40" s="28"/>
      <c r="BF40" s="74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</row>
    <row r="41" spans="1:72" s="6" customFormat="1" ht="13.2" x14ac:dyDescent="0.25">
      <c r="A41" s="143" t="s">
        <v>18</v>
      </c>
      <c r="B41" s="91" t="s">
        <v>19</v>
      </c>
      <c r="C41" s="92" t="s">
        <v>26</v>
      </c>
      <c r="D41" s="93" t="s">
        <v>21</v>
      </c>
      <c r="E41" s="94" t="s">
        <v>20</v>
      </c>
      <c r="F41" s="95"/>
      <c r="G41" s="93" t="s">
        <v>29</v>
      </c>
      <c r="H41" s="93" t="s">
        <v>27</v>
      </c>
      <c r="I41" s="94" t="s">
        <v>28</v>
      </c>
      <c r="J41" s="74"/>
      <c r="K41" s="93" t="s">
        <v>32</v>
      </c>
      <c r="L41" s="93" t="s">
        <v>30</v>
      </c>
      <c r="M41" s="94" t="s">
        <v>31</v>
      </c>
      <c r="N41" s="74"/>
      <c r="O41" s="93" t="s">
        <v>33</v>
      </c>
      <c r="P41" s="93" t="s">
        <v>34</v>
      </c>
      <c r="Q41" s="94" t="s">
        <v>35</v>
      </c>
      <c r="R41" s="74"/>
      <c r="S41" s="96" t="s">
        <v>69</v>
      </c>
      <c r="T41" s="96" t="s">
        <v>36</v>
      </c>
      <c r="U41" s="97" t="s">
        <v>37</v>
      </c>
      <c r="V41" s="74"/>
      <c r="W41" s="94" t="s">
        <v>68</v>
      </c>
      <c r="X41" s="30" t="s">
        <v>67</v>
      </c>
      <c r="Y41" s="94" t="s">
        <v>38</v>
      </c>
      <c r="Z41" s="74"/>
      <c r="AA41" s="96" t="s">
        <v>39</v>
      </c>
      <c r="AB41" s="96" t="s">
        <v>40</v>
      </c>
      <c r="AC41" s="97" t="s">
        <v>41</v>
      </c>
      <c r="AD41" s="74"/>
      <c r="AE41" s="93" t="s">
        <v>42</v>
      </c>
      <c r="AF41" s="93" t="s">
        <v>43</v>
      </c>
      <c r="AG41" s="94" t="s">
        <v>44</v>
      </c>
      <c r="AH41" s="74"/>
      <c r="AI41" s="96" t="s">
        <v>72</v>
      </c>
      <c r="AJ41" s="96" t="s">
        <v>71</v>
      </c>
      <c r="AK41" s="98" t="s">
        <v>45</v>
      </c>
      <c r="AL41" s="74"/>
      <c r="AM41" s="93" t="s">
        <v>46</v>
      </c>
      <c r="AN41" s="93" t="s">
        <v>47</v>
      </c>
      <c r="AO41" s="93" t="s">
        <v>50</v>
      </c>
      <c r="AP41" s="74"/>
      <c r="AQ41" s="93" t="s">
        <v>48</v>
      </c>
      <c r="AR41" s="93" t="s">
        <v>49</v>
      </c>
      <c r="AS41" s="93" t="s">
        <v>51</v>
      </c>
      <c r="AT41" s="74"/>
      <c r="AU41" s="96" t="s">
        <v>73</v>
      </c>
      <c r="AV41" s="93" t="s">
        <v>74</v>
      </c>
      <c r="AW41" s="96" t="s">
        <v>37</v>
      </c>
      <c r="AX41" s="74"/>
      <c r="AY41" s="93" t="s">
        <v>52</v>
      </c>
      <c r="AZ41" s="93" t="s">
        <v>53</v>
      </c>
      <c r="BA41" s="93" t="s">
        <v>54</v>
      </c>
      <c r="BB41" s="74"/>
      <c r="BC41" s="93" t="s">
        <v>55</v>
      </c>
      <c r="BD41" s="93" t="s">
        <v>56</v>
      </c>
      <c r="BE41" s="93" t="s">
        <v>57</v>
      </c>
      <c r="BF41" s="74"/>
      <c r="BG41" s="93" t="s">
        <v>58</v>
      </c>
      <c r="BH41" s="93" t="s">
        <v>59</v>
      </c>
      <c r="BI41" s="93" t="s">
        <v>60</v>
      </c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</row>
    <row r="42" spans="1:72" s="6" customFormat="1" ht="13.2" x14ac:dyDescent="0.25">
      <c r="A42" s="144">
        <f>B22-$B$36</f>
        <v>-1.2269230769230768E-2</v>
      </c>
      <c r="B42" s="99">
        <f>A42*A42</f>
        <v>1.5053402366863904E-4</v>
      </c>
      <c r="C42" s="100">
        <f t="shared" ref="C42:C54" si="0">C3-$C$17</f>
        <v>-4.3399999999999994E-2</v>
      </c>
      <c r="D42" s="101">
        <f>C42*C42</f>
        <v>1.8835599999999994E-3</v>
      </c>
      <c r="E42" s="81">
        <f>A42*C42</f>
        <v>5.3248461538461529E-4</v>
      </c>
      <c r="F42" s="74"/>
      <c r="G42" s="81">
        <f t="shared" ref="G42:G54" si="1">G3-$G$17</f>
        <v>-4.0630769230769234E-2</v>
      </c>
      <c r="H42" s="102">
        <f>G42*G42</f>
        <v>1.650859408284024E-3</v>
      </c>
      <c r="I42" s="102">
        <f>G42*A42</f>
        <v>4.9850828402366867E-4</v>
      </c>
      <c r="J42" s="74"/>
      <c r="K42" s="81">
        <f t="shared" ref="K42:K54" si="2">K3-$K$17</f>
        <v>-5.4869230769230774E-2</v>
      </c>
      <c r="L42" s="102">
        <f>K42*K42</f>
        <v>3.0106324852071011E-3</v>
      </c>
      <c r="M42" s="103">
        <f>K42*A42</f>
        <v>6.7320325443786979E-4</v>
      </c>
      <c r="N42" s="74"/>
      <c r="O42" s="81">
        <f t="shared" ref="O42:O54" si="3">O3-$O$17</f>
        <v>0.11661538461538461</v>
      </c>
      <c r="P42" s="103">
        <f>O42*O42</f>
        <v>1.359914792899408E-2</v>
      </c>
      <c r="Q42" s="102">
        <f>O42*A42</f>
        <v>-1.4307810650887572E-3</v>
      </c>
      <c r="R42" s="74"/>
      <c r="S42" s="104">
        <v>-0.13339999999999999</v>
      </c>
      <c r="T42" s="105">
        <f>S42*S42</f>
        <v>1.7795559999999998E-2</v>
      </c>
      <c r="U42" s="105">
        <v>1.6367153846153844E-3</v>
      </c>
      <c r="V42" s="74"/>
      <c r="W42" s="94">
        <v>-5.7799999999999997E-2</v>
      </c>
      <c r="X42" s="106">
        <f>W42*W42</f>
        <v>3.3408399999999999E-3</v>
      </c>
      <c r="Y42" s="50">
        <v>7.0916153846153841E-4</v>
      </c>
      <c r="Z42" s="74"/>
      <c r="AA42" s="104">
        <f t="shared" ref="AA42:AA54" si="4">AA3-$AA$17</f>
        <v>4.1553846153846156E-2</v>
      </c>
      <c r="AB42" s="105">
        <f>AA42*AA42</f>
        <v>1.726722130177515E-3</v>
      </c>
      <c r="AC42" s="105">
        <f>AA42*A42</f>
        <v>-5.0983372781065084E-4</v>
      </c>
      <c r="AD42" s="74"/>
      <c r="AE42" s="102">
        <f t="shared" ref="AE42:AE54" si="5">AE3-$AE$17</f>
        <v>2.0823076923076927E-2</v>
      </c>
      <c r="AF42" s="102">
        <f>AE42*AE42</f>
        <v>4.3360053254437884E-4</v>
      </c>
      <c r="AG42" s="102">
        <f>AE42*A42</f>
        <v>-2.5548313609467457E-4</v>
      </c>
      <c r="AH42" s="74"/>
      <c r="AI42" s="104">
        <v>-0.1227923076923077</v>
      </c>
      <c r="AJ42" s="107">
        <f>AI42*AI42</f>
        <v>1.5077950828402369E-2</v>
      </c>
      <c r="AK42" s="107">
        <v>1.5065671597633136E-3</v>
      </c>
      <c r="AL42" s="74"/>
      <c r="AM42" s="108">
        <f t="shared" ref="AM42:AM54" si="6">AM3-$AM$17</f>
        <v>-1.2653846153846154E-2</v>
      </c>
      <c r="AN42" s="103">
        <f>AM42*AM42</f>
        <v>1.6011982248520713E-4</v>
      </c>
      <c r="AO42" s="103">
        <f>AM42*A42</f>
        <v>1.5525295857988166E-4</v>
      </c>
      <c r="AP42" s="74"/>
      <c r="AQ42" s="81">
        <f t="shared" ref="AQ42:AQ54" si="7">AQ3-$AQ$17</f>
        <v>-1.8623076923076919E-2</v>
      </c>
      <c r="AR42" s="103">
        <f>AQ42*AQ42</f>
        <v>3.4681899408284012E-4</v>
      </c>
      <c r="AS42" s="103">
        <f>AQ42*A42</f>
        <v>2.2849082840236681E-4</v>
      </c>
      <c r="AT42" s="74"/>
      <c r="AU42" s="104">
        <v>-5.1900000000000002E-2</v>
      </c>
      <c r="AV42" s="107">
        <f>AU42*AU42</f>
        <v>2.6936100000000004E-3</v>
      </c>
      <c r="AW42" s="107">
        <v>6.3677307692307705E-4</v>
      </c>
      <c r="AX42" s="74"/>
      <c r="AY42" s="81">
        <f t="shared" ref="AY42:AY54" si="8">AY3-$AY$17</f>
        <v>-4.5999999999999999E-2</v>
      </c>
      <c r="AZ42" s="103">
        <f>AY42*AY42</f>
        <v>2.1159999999999998E-3</v>
      </c>
      <c r="BA42" s="103">
        <f>AY42*A42</f>
        <v>5.6438461538461536E-4</v>
      </c>
      <c r="BB42" s="109"/>
      <c r="BC42" s="81">
        <f t="shared" ref="BC42:BC54" si="9">BC3-$BC$17</f>
        <v>2.9600000000000001E-2</v>
      </c>
      <c r="BD42" s="103">
        <f>BC42*BC42</f>
        <v>8.7616000000000007E-4</v>
      </c>
      <c r="BE42" s="103">
        <f>BC42*A42</f>
        <v>-3.6316923076923076E-4</v>
      </c>
      <c r="BF42" s="74"/>
      <c r="BG42" s="110">
        <f t="shared" ref="BG42:BG54" si="10">BG3-$BG$17</f>
        <v>5.4800000000000001E-2</v>
      </c>
      <c r="BH42" s="111">
        <f>BG42*BG42</f>
        <v>3.0030400000000002E-3</v>
      </c>
      <c r="BI42" s="112">
        <f>BG42*A42</f>
        <v>-6.7235384615384609E-4</v>
      </c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</row>
    <row r="43" spans="1:72" s="6" customFormat="1" ht="13.2" x14ac:dyDescent="0.25">
      <c r="A43" s="144">
        <f t="shared" ref="A43:A53" si="11">B23-$B$36</f>
        <v>-2.6669230769230768E-2</v>
      </c>
      <c r="B43" s="99">
        <f t="shared" ref="B43:B54" si="12">A43*A43</f>
        <v>7.1124786982248512E-4</v>
      </c>
      <c r="C43" s="100">
        <f t="shared" si="0"/>
        <v>-6.9799999999999987E-2</v>
      </c>
      <c r="D43" s="108">
        <f>C43*C43</f>
        <v>4.8720399999999985E-3</v>
      </c>
      <c r="E43" s="81">
        <f t="shared" ref="E43:E54" si="13">A43*C43</f>
        <v>1.8615123076923072E-3</v>
      </c>
      <c r="F43" s="74"/>
      <c r="G43" s="81">
        <f t="shared" si="1"/>
        <v>-3.2330769230769232E-2</v>
      </c>
      <c r="H43" s="102">
        <f t="shared" ref="H43:H54" si="14">G43*G43</f>
        <v>1.0452786390532545E-3</v>
      </c>
      <c r="I43" s="102">
        <f>G43*A44</f>
        <v>3.0938059171597634E-4</v>
      </c>
      <c r="J43" s="74"/>
      <c r="K43" s="81">
        <f t="shared" si="2"/>
        <v>-6.9869230769230767E-2</v>
      </c>
      <c r="L43" s="102">
        <f t="shared" ref="L43:L54" si="15">K43*K43</f>
        <v>4.8817094082840235E-3</v>
      </c>
      <c r="M43" s="103">
        <f t="shared" ref="M43:M54" si="16">K43*A43</f>
        <v>1.8633586390532542E-3</v>
      </c>
      <c r="N43" s="74"/>
      <c r="O43" s="81">
        <f t="shared" si="3"/>
        <v>-3.6584615384615382E-2</v>
      </c>
      <c r="P43" s="103">
        <f t="shared" ref="P43:P54" si="17">O43*O43</f>
        <v>1.3384340828402365E-3</v>
      </c>
      <c r="Q43" s="102">
        <f t="shared" ref="Q43:Q54" si="18">O43*A43</f>
        <v>9.756835502958579E-4</v>
      </c>
      <c r="R43" s="74"/>
      <c r="S43" s="104">
        <v>3.2899999999999999E-2</v>
      </c>
      <c r="T43" s="105">
        <f t="shared" ref="T43:T54" si="19">S43*S43</f>
        <v>1.08241E-3</v>
      </c>
      <c r="U43" s="105">
        <v>-8.774176923076922E-4</v>
      </c>
      <c r="V43" s="74"/>
      <c r="W43" s="94">
        <v>3.6600000000000001E-2</v>
      </c>
      <c r="X43" s="106">
        <f t="shared" ref="X43:X54" si="20">W43*W43</f>
        <v>1.3395600000000001E-3</v>
      </c>
      <c r="Y43" s="50">
        <v>-9.7609384615384613E-4</v>
      </c>
      <c r="Z43" s="74"/>
      <c r="AA43" s="104">
        <f t="shared" si="4"/>
        <v>-7.3546153846153844E-2</v>
      </c>
      <c r="AB43" s="105">
        <f t="shared" ref="AB43:AB54" si="21">AA43*AA43</f>
        <v>5.4090367455621301E-3</v>
      </c>
      <c r="AC43" s="105">
        <f t="shared" ref="AC43:AC54" si="22">AA43*A43</f>
        <v>1.9614193491124259E-3</v>
      </c>
      <c r="AD43" s="74"/>
      <c r="AE43" s="102">
        <f t="shared" si="5"/>
        <v>-4.3976923076923066E-2</v>
      </c>
      <c r="AF43" s="102">
        <f t="shared" ref="AF43:AF54" si="23">AE43*AE43</f>
        <v>1.9339697633136085E-3</v>
      </c>
      <c r="AG43" s="102">
        <f t="shared" ref="AG43:AG54" si="24">AE43*A43</f>
        <v>1.1728307100591713E-3</v>
      </c>
      <c r="AH43" s="74"/>
      <c r="AI43" s="104">
        <v>5.0407692307692306E-2</v>
      </c>
      <c r="AJ43" s="107">
        <f t="shared" ref="AJ43:AJ54" si="25">AI43*AI43</f>
        <v>2.5409354437869822E-3</v>
      </c>
      <c r="AK43" s="107">
        <v>-1.3443343786982247E-3</v>
      </c>
      <c r="AL43" s="74"/>
      <c r="AM43" s="108">
        <f t="shared" si="6"/>
        <v>-6.1153846153846156E-2</v>
      </c>
      <c r="AN43" s="103">
        <f t="shared" ref="AN43:AN53" si="26">AM43*AM43</f>
        <v>3.7397928994082844E-3</v>
      </c>
      <c r="AO43" s="103">
        <f t="shared" ref="AO43:AO54" si="27">AM43*A43</f>
        <v>1.6309260355029586E-3</v>
      </c>
      <c r="AP43" s="74"/>
      <c r="AQ43" s="81">
        <f t="shared" si="7"/>
        <v>-6.6230769230769208E-3</v>
      </c>
      <c r="AR43" s="103">
        <f t="shared" ref="AR43:AR54" si="28">AQ43*AQ43</f>
        <v>4.3865147928994054E-5</v>
      </c>
      <c r="AS43" s="103">
        <f t="shared" ref="AS43:AS54" si="29">AQ43*A43</f>
        <v>1.7663236686390525E-4</v>
      </c>
      <c r="AT43" s="74"/>
      <c r="AU43" s="104">
        <v>1.0800000000000001E-2</v>
      </c>
      <c r="AV43" s="107">
        <f t="shared" ref="AV43:AV54" si="30">AU43*AU43</f>
        <v>1.1664000000000001E-4</v>
      </c>
      <c r="AW43" s="107">
        <v>-2.8802769230769229E-4</v>
      </c>
      <c r="AX43" s="74"/>
      <c r="AY43" s="81">
        <f t="shared" si="8"/>
        <v>6.5299999999999997E-2</v>
      </c>
      <c r="AZ43" s="103">
        <f t="shared" ref="AZ43:AZ54" si="31">AY43*AY43</f>
        <v>4.2640899999999999E-3</v>
      </c>
      <c r="BA43" s="103">
        <f t="shared" ref="BA43:BA54" si="32">AY43*A43</f>
        <v>-1.7415007692307691E-3</v>
      </c>
      <c r="BB43" s="74"/>
      <c r="BC43" s="81">
        <f t="shared" si="9"/>
        <v>-0.13950000000000001</v>
      </c>
      <c r="BD43" s="103">
        <f t="shared" ref="BD43:BD54" si="33">BC43*BC43</f>
        <v>1.9460250000000005E-2</v>
      </c>
      <c r="BE43" s="103">
        <f t="shared" ref="BE43:BE54" si="34">BC43*A43</f>
        <v>3.7203576923076926E-3</v>
      </c>
      <c r="BF43" s="74"/>
      <c r="BG43" s="110">
        <f t="shared" si="10"/>
        <v>-7.3999999999999996E-2</v>
      </c>
      <c r="BH43" s="111">
        <f t="shared" ref="BH43:BH54" si="35">BG43*BG43</f>
        <v>5.4759999999999991E-3</v>
      </c>
      <c r="BI43" s="112">
        <f t="shared" ref="BI43:BI54" si="36">BG43*A43</f>
        <v>1.9735230769230769E-3</v>
      </c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</row>
    <row r="44" spans="1:72" s="6" customFormat="1" ht="13.2" x14ac:dyDescent="0.25">
      <c r="A44" s="144">
        <f t="shared" si="11"/>
        <v>-9.5692307692307691E-3</v>
      </c>
      <c r="B44" s="99">
        <f t="shared" si="12"/>
        <v>9.1570177514792896E-5</v>
      </c>
      <c r="C44" s="100">
        <f t="shared" si="0"/>
        <v>-6.7999999999999991E-2</v>
      </c>
      <c r="D44" s="108">
        <f t="shared" ref="D44:D54" si="37">C44*C44</f>
        <v>4.6239999999999988E-3</v>
      </c>
      <c r="E44" s="81">
        <f t="shared" si="13"/>
        <v>6.5070769230769223E-4</v>
      </c>
      <c r="F44" s="74"/>
      <c r="G44" s="81">
        <f t="shared" si="1"/>
        <v>-1.2030769230769232E-2</v>
      </c>
      <c r="H44" s="102">
        <f t="shared" si="14"/>
        <v>1.4473940828402371E-4</v>
      </c>
      <c r="I44" s="102">
        <f>G44*A44</f>
        <v>1.1512520710059173E-4</v>
      </c>
      <c r="J44" s="74"/>
      <c r="K44" s="81">
        <f t="shared" si="2"/>
        <v>-8.8069230769230775E-2</v>
      </c>
      <c r="L44" s="102">
        <f t="shared" si="15"/>
        <v>7.7561894082840248E-3</v>
      </c>
      <c r="M44" s="103">
        <f t="shared" si="16"/>
        <v>8.4275479289940838E-4</v>
      </c>
      <c r="N44" s="74"/>
      <c r="O44" s="81">
        <f t="shared" si="3"/>
        <v>-1.7284615384615381E-2</v>
      </c>
      <c r="P44" s="103">
        <f t="shared" si="17"/>
        <v>2.987579289940827E-4</v>
      </c>
      <c r="Q44" s="102">
        <f t="shared" si="18"/>
        <v>1.6540047337278103E-4</v>
      </c>
      <c r="R44" s="74"/>
      <c r="S44" s="104">
        <v>7.980000000000001E-2</v>
      </c>
      <c r="T44" s="105">
        <f t="shared" si="19"/>
        <v>6.3680400000000019E-3</v>
      </c>
      <c r="U44" s="105">
        <v>-7.6362461538461552E-4</v>
      </c>
      <c r="V44" s="74"/>
      <c r="W44" s="94">
        <v>-3.0300000000000001E-2</v>
      </c>
      <c r="X44" s="106">
        <f t="shared" si="20"/>
        <v>9.1808999999999999E-4</v>
      </c>
      <c r="Y44" s="50">
        <v>2.8994769230769233E-4</v>
      </c>
      <c r="Z44" s="74"/>
      <c r="AA44" s="104">
        <f t="shared" si="4"/>
        <v>-4.3461538461538451E-3</v>
      </c>
      <c r="AB44" s="105">
        <f t="shared" si="21"/>
        <v>1.8889053254437862E-5</v>
      </c>
      <c r="AC44" s="105">
        <f t="shared" si="22"/>
        <v>4.1589349112426025E-5</v>
      </c>
      <c r="AD44" s="74"/>
      <c r="AE44" s="102">
        <f t="shared" si="5"/>
        <v>-4.0676923076923069E-2</v>
      </c>
      <c r="AF44" s="102">
        <f t="shared" si="23"/>
        <v>1.6546120710059166E-3</v>
      </c>
      <c r="AG44" s="102">
        <f t="shared" si="24"/>
        <v>3.8924686390532536E-4</v>
      </c>
      <c r="AH44" s="74"/>
      <c r="AI44" s="104">
        <v>2.970769230769231E-2</v>
      </c>
      <c r="AJ44" s="107">
        <f t="shared" si="25"/>
        <v>8.825469822485208E-4</v>
      </c>
      <c r="AK44" s="107">
        <v>-2.842797633136095E-4</v>
      </c>
      <c r="AL44" s="74"/>
      <c r="AM44" s="108">
        <f t="shared" si="6"/>
        <v>-2.7953846153846156E-2</v>
      </c>
      <c r="AN44" s="103">
        <f t="shared" si="26"/>
        <v>7.8141751479289946E-4</v>
      </c>
      <c r="AO44" s="103">
        <f t="shared" si="27"/>
        <v>2.6749680473372783E-4</v>
      </c>
      <c r="AP44" s="74"/>
      <c r="AQ44" s="81">
        <f t="shared" si="7"/>
        <v>3.8676923076923081E-2</v>
      </c>
      <c r="AR44" s="103">
        <f t="shared" si="28"/>
        <v>1.4959043786982251E-3</v>
      </c>
      <c r="AS44" s="103">
        <f t="shared" si="29"/>
        <v>-3.7010840236686396E-4</v>
      </c>
      <c r="AT44" s="109"/>
      <c r="AU44" s="104">
        <v>5.1899999999999995E-2</v>
      </c>
      <c r="AV44" s="107">
        <f t="shared" si="30"/>
        <v>2.6936099999999995E-3</v>
      </c>
      <c r="AW44" s="107">
        <v>-4.9664307692307691E-4</v>
      </c>
      <c r="AX44" s="74"/>
      <c r="AY44" s="81">
        <f t="shared" si="8"/>
        <v>-0.127</v>
      </c>
      <c r="AZ44" s="103">
        <f t="shared" si="31"/>
        <v>1.6129000000000001E-2</v>
      </c>
      <c r="BA44" s="103">
        <f t="shared" si="32"/>
        <v>1.2152923076923076E-3</v>
      </c>
      <c r="BB44" s="74"/>
      <c r="BC44" s="81">
        <f t="shared" si="9"/>
        <v>-5.8999999999999997E-2</v>
      </c>
      <c r="BD44" s="103">
        <f t="shared" si="33"/>
        <v>3.4809999999999997E-3</v>
      </c>
      <c r="BE44" s="103">
        <f t="shared" si="34"/>
        <v>5.6458461538461536E-4</v>
      </c>
      <c r="BF44" s="74"/>
      <c r="BG44" s="110">
        <f t="shared" si="10"/>
        <v>-1.4999999999999999E-2</v>
      </c>
      <c r="BH44" s="111">
        <f t="shared" si="35"/>
        <v>2.2499999999999999E-4</v>
      </c>
      <c r="BI44" s="112">
        <f t="shared" si="36"/>
        <v>1.4353846153846152E-4</v>
      </c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</row>
    <row r="45" spans="1:72" s="6" customFormat="1" ht="13.2" x14ac:dyDescent="0.25">
      <c r="A45" s="144">
        <f t="shared" si="11"/>
        <v>-6.8669230769230774E-2</v>
      </c>
      <c r="B45" s="99">
        <f t="shared" si="12"/>
        <v>4.7154632544378705E-3</v>
      </c>
      <c r="C45" s="100">
        <f t="shared" si="0"/>
        <v>-0.1552</v>
      </c>
      <c r="D45" s="108">
        <f t="shared" si="37"/>
        <v>2.4087040000000001E-2</v>
      </c>
      <c r="E45" s="81">
        <f t="shared" si="13"/>
        <v>1.0657464615384617E-2</v>
      </c>
      <c r="F45" s="74"/>
      <c r="G45" s="81">
        <f t="shared" si="1"/>
        <v>-3.030769230769231E-3</v>
      </c>
      <c r="H45" s="102">
        <f t="shared" si="14"/>
        <v>9.1855621301775155E-6</v>
      </c>
      <c r="I45" s="102">
        <f>G45*A45</f>
        <v>2.0812059171597635E-4</v>
      </c>
      <c r="J45" s="74"/>
      <c r="K45" s="81">
        <f t="shared" si="2"/>
        <v>-0.12086923076923077</v>
      </c>
      <c r="L45" s="102">
        <f t="shared" si="15"/>
        <v>1.4609370946745562E-2</v>
      </c>
      <c r="M45" s="103">
        <f t="shared" si="16"/>
        <v>8.2999971005917172E-3</v>
      </c>
      <c r="N45" s="74"/>
      <c r="O45" s="81">
        <f t="shared" si="3"/>
        <v>-0.18038461538461539</v>
      </c>
      <c r="P45" s="103">
        <f t="shared" si="17"/>
        <v>3.2538609467455626E-2</v>
      </c>
      <c r="Q45" s="102">
        <f t="shared" si="18"/>
        <v>1.238687278106509E-2</v>
      </c>
      <c r="R45" s="74"/>
      <c r="S45" s="104">
        <v>-0.1278</v>
      </c>
      <c r="T45" s="105">
        <f t="shared" si="19"/>
        <v>1.6332839999999998E-2</v>
      </c>
      <c r="U45" s="105">
        <v>8.7759276923076932E-3</v>
      </c>
      <c r="V45" s="74"/>
      <c r="W45" s="94">
        <v>-7.9799999999999996E-2</v>
      </c>
      <c r="X45" s="106">
        <f t="shared" si="20"/>
        <v>6.3680399999999993E-3</v>
      </c>
      <c r="Y45" s="50">
        <v>5.4798046153846152E-3</v>
      </c>
      <c r="Z45" s="74"/>
      <c r="AA45" s="104">
        <f t="shared" si="4"/>
        <v>-7.1246153846153848E-2</v>
      </c>
      <c r="AB45" s="105">
        <f t="shared" si="21"/>
        <v>5.0760144378698231E-3</v>
      </c>
      <c r="AC45" s="105">
        <f t="shared" si="22"/>
        <v>4.8924185798816574E-3</v>
      </c>
      <c r="AD45" s="74"/>
      <c r="AE45" s="102">
        <f t="shared" si="5"/>
        <v>-0.13877692307692308</v>
      </c>
      <c r="AF45" s="102">
        <f t="shared" si="23"/>
        <v>1.9259034378698223E-2</v>
      </c>
      <c r="AG45" s="102">
        <f t="shared" si="24"/>
        <v>9.5297045562130183E-3</v>
      </c>
      <c r="AH45" s="74"/>
      <c r="AI45" s="104">
        <v>-0.10799230769230769</v>
      </c>
      <c r="AJ45" s="107">
        <f t="shared" si="25"/>
        <v>1.166233852071006E-2</v>
      </c>
      <c r="AK45" s="107">
        <v>7.4157486982248527E-3</v>
      </c>
      <c r="AL45" s="74"/>
      <c r="AM45" s="108">
        <f t="shared" si="6"/>
        <v>-9.3653846153846157E-2</v>
      </c>
      <c r="AN45" s="103">
        <f t="shared" si="26"/>
        <v>8.7710428994082854E-3</v>
      </c>
      <c r="AO45" s="103">
        <f t="shared" si="27"/>
        <v>6.4311375739644974E-3</v>
      </c>
      <c r="AP45" s="74"/>
      <c r="AQ45" s="81">
        <f t="shared" si="7"/>
        <v>-8.1623076923076923E-2</v>
      </c>
      <c r="AR45" s="103">
        <f t="shared" si="28"/>
        <v>6.6623266863905326E-3</v>
      </c>
      <c r="AS45" s="103">
        <f t="shared" si="29"/>
        <v>5.6049939053254439E-3</v>
      </c>
      <c r="AT45" s="74"/>
      <c r="AU45" s="104">
        <v>-5.5400000000000005E-2</v>
      </c>
      <c r="AV45" s="107">
        <f t="shared" si="30"/>
        <v>3.0691600000000005E-3</v>
      </c>
      <c r="AW45" s="107">
        <v>3.8042753846153853E-3</v>
      </c>
      <c r="AX45" s="74"/>
      <c r="AY45" s="81">
        <f t="shared" si="8"/>
        <v>-9.7100000000000006E-2</v>
      </c>
      <c r="AZ45" s="103">
        <f t="shared" si="31"/>
        <v>9.4284100000000017E-3</v>
      </c>
      <c r="BA45" s="103">
        <f t="shared" si="32"/>
        <v>6.6677823076923088E-3</v>
      </c>
      <c r="BB45" s="74"/>
      <c r="BC45" s="81">
        <f t="shared" si="9"/>
        <v>-0.13980000000000001</v>
      </c>
      <c r="BD45" s="103">
        <f t="shared" si="33"/>
        <v>1.9544040000000002E-2</v>
      </c>
      <c r="BE45" s="103">
        <f t="shared" si="34"/>
        <v>9.5999584615384624E-3</v>
      </c>
      <c r="BF45" s="74"/>
      <c r="BG45" s="110">
        <f t="shared" si="10"/>
        <v>-0.15160000000000001</v>
      </c>
      <c r="BH45" s="111">
        <f t="shared" si="35"/>
        <v>2.2982560000000003E-2</v>
      </c>
      <c r="BI45" s="112">
        <f t="shared" si="36"/>
        <v>1.0410255384615387E-2</v>
      </c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</row>
    <row r="46" spans="1:72" s="6" customFormat="1" ht="13.2" x14ac:dyDescent="0.25">
      <c r="A46" s="144">
        <f t="shared" si="11"/>
        <v>1.6330769230769232E-2</v>
      </c>
      <c r="B46" s="99">
        <f t="shared" si="12"/>
        <v>2.6669402366863909E-4</v>
      </c>
      <c r="C46" s="100">
        <f t="shared" si="0"/>
        <v>-0.13389999999999999</v>
      </c>
      <c r="D46" s="108">
        <f t="shared" si="37"/>
        <v>1.7929209999999998E-2</v>
      </c>
      <c r="E46" s="81">
        <f t="shared" si="13"/>
        <v>-2.1866899999999998E-3</v>
      </c>
      <c r="F46" s="74"/>
      <c r="G46" s="81">
        <f t="shared" si="1"/>
        <v>1.7469230769230768E-2</v>
      </c>
      <c r="H46" s="102">
        <f t="shared" si="14"/>
        <v>3.05174023668639E-4</v>
      </c>
      <c r="I46" s="102">
        <f>G46*A46</f>
        <v>2.8528597633136095E-4</v>
      </c>
      <c r="J46" s="74"/>
      <c r="K46" s="81">
        <f t="shared" si="2"/>
        <v>1.3930769230769229E-2</v>
      </c>
      <c r="L46" s="102">
        <f t="shared" si="15"/>
        <v>1.9406633136094669E-4</v>
      </c>
      <c r="M46" s="103">
        <f t="shared" si="16"/>
        <v>2.275001775147929E-4</v>
      </c>
      <c r="N46" s="74"/>
      <c r="O46" s="81">
        <f t="shared" si="3"/>
        <v>5.021538461538462E-2</v>
      </c>
      <c r="P46" s="103">
        <f t="shared" si="17"/>
        <v>2.5215848520710065E-3</v>
      </c>
      <c r="Q46" s="102">
        <f t="shared" si="18"/>
        <v>8.2005585798816585E-4</v>
      </c>
      <c r="R46" s="74"/>
      <c r="S46" s="104">
        <v>0.12740000000000001</v>
      </c>
      <c r="T46" s="105">
        <f t="shared" si="19"/>
        <v>1.6230760000000004E-2</v>
      </c>
      <c r="U46" s="105">
        <v>2.0805400000000005E-3</v>
      </c>
      <c r="V46" s="74"/>
      <c r="W46" s="94">
        <v>6.7799999999999999E-2</v>
      </c>
      <c r="X46" s="106">
        <f t="shared" si="20"/>
        <v>4.5968399999999996E-3</v>
      </c>
      <c r="Y46" s="50">
        <v>1.1072261538461539E-3</v>
      </c>
      <c r="Z46" s="74"/>
      <c r="AA46" s="104">
        <f t="shared" si="4"/>
        <v>8.7753846153846141E-2</v>
      </c>
      <c r="AB46" s="105">
        <f t="shared" si="21"/>
        <v>7.7007375147928967E-3</v>
      </c>
      <c r="AC46" s="105">
        <f t="shared" si="22"/>
        <v>1.4330878106508876E-3</v>
      </c>
      <c r="AD46" s="74"/>
      <c r="AE46" s="102">
        <f t="shared" si="5"/>
        <v>-7.4769230769230702E-3</v>
      </c>
      <c r="AF46" s="102">
        <f t="shared" si="23"/>
        <v>5.5904378698224755E-5</v>
      </c>
      <c r="AG46" s="102">
        <f t="shared" si="24"/>
        <v>-1.2210390532544369E-4</v>
      </c>
      <c r="AH46" s="74"/>
      <c r="AI46" s="104">
        <v>3.4707692307692314E-2</v>
      </c>
      <c r="AJ46" s="107">
        <f t="shared" si="25"/>
        <v>1.2046239053254443E-3</v>
      </c>
      <c r="AK46" s="107">
        <v>5.6680331360946766E-4</v>
      </c>
      <c r="AL46" s="74"/>
      <c r="AM46" s="108">
        <f t="shared" si="6"/>
        <v>3.884615384615385E-2</v>
      </c>
      <c r="AN46" s="103">
        <f t="shared" si="26"/>
        <v>1.5090236686390536E-3</v>
      </c>
      <c r="AO46" s="103">
        <f t="shared" si="27"/>
        <v>6.3438757396449717E-4</v>
      </c>
      <c r="AP46" s="74"/>
      <c r="AQ46" s="81">
        <f t="shared" si="7"/>
        <v>-5.3523076923076923E-2</v>
      </c>
      <c r="AR46" s="103">
        <f t="shared" si="28"/>
        <v>2.8647197633136093E-3</v>
      </c>
      <c r="AS46" s="103">
        <f t="shared" si="29"/>
        <v>-8.7407301775147938E-4</v>
      </c>
      <c r="AT46" s="74"/>
      <c r="AU46" s="104">
        <v>0.19870000000000002</v>
      </c>
      <c r="AV46" s="107">
        <f t="shared" si="30"/>
        <v>3.9481690000000007E-2</v>
      </c>
      <c r="AW46" s="107">
        <v>3.2449238461538465E-3</v>
      </c>
      <c r="AX46" s="74"/>
      <c r="AY46" s="81">
        <f t="shared" si="8"/>
        <v>4.6899999999999997E-2</v>
      </c>
      <c r="AZ46" s="103">
        <f t="shared" si="31"/>
        <v>2.1996099999999998E-3</v>
      </c>
      <c r="BA46" s="103">
        <f t="shared" si="32"/>
        <v>7.6591307692307697E-4</v>
      </c>
      <c r="BB46" s="74"/>
      <c r="BC46" s="81">
        <f t="shared" si="9"/>
        <v>3.3800000000000004E-2</v>
      </c>
      <c r="BD46" s="103">
        <f t="shared" si="33"/>
        <v>1.1424400000000002E-3</v>
      </c>
      <c r="BE46" s="103">
        <f t="shared" si="34"/>
        <v>5.5198000000000009E-4</v>
      </c>
      <c r="BF46" s="74"/>
      <c r="BG46" s="110">
        <f t="shared" si="10"/>
        <v>5.8700000000000002E-2</v>
      </c>
      <c r="BH46" s="111">
        <f t="shared" si="35"/>
        <v>3.4456900000000004E-3</v>
      </c>
      <c r="BI46" s="112">
        <f t="shared" si="36"/>
        <v>9.5861615384615394E-4</v>
      </c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</row>
    <row r="47" spans="1:72" s="6" customFormat="1" ht="13.2" x14ac:dyDescent="0.25">
      <c r="A47" s="144">
        <f t="shared" si="11"/>
        <v>4.9307692307692308E-3</v>
      </c>
      <c r="B47" s="99">
        <f t="shared" si="12"/>
        <v>2.4312485207100593E-5</v>
      </c>
      <c r="C47" s="100">
        <f t="shared" si="0"/>
        <v>-5.0099999999999992E-2</v>
      </c>
      <c r="D47" s="108">
        <f t="shared" si="37"/>
        <v>2.5100099999999992E-3</v>
      </c>
      <c r="E47" s="81">
        <f t="shared" si="13"/>
        <v>-2.4703153846153842E-4</v>
      </c>
      <c r="F47" s="74"/>
      <c r="G47" s="81">
        <f t="shared" si="1"/>
        <v>-6.3307692307692318E-3</v>
      </c>
      <c r="H47" s="102">
        <f t="shared" si="14"/>
        <v>4.0078639053254452E-5</v>
      </c>
      <c r="I47" s="102">
        <f t="shared" ref="I47:I54" si="38">G47*A47</f>
        <v>-3.1215562130177521E-5</v>
      </c>
      <c r="J47" s="74"/>
      <c r="K47" s="81">
        <f t="shared" si="2"/>
        <v>0.11523076923076922</v>
      </c>
      <c r="L47" s="102">
        <f t="shared" si="15"/>
        <v>1.327813017751479E-2</v>
      </c>
      <c r="M47" s="103">
        <f t="shared" si="16"/>
        <v>5.681763313609467E-4</v>
      </c>
      <c r="N47" s="74"/>
      <c r="O47" s="81">
        <f t="shared" si="3"/>
        <v>-7.138461538461538E-2</v>
      </c>
      <c r="P47" s="103">
        <f t="shared" si="17"/>
        <v>5.0957633136094671E-3</v>
      </c>
      <c r="Q47" s="102">
        <f t="shared" si="18"/>
        <v>-3.5198106508875737E-4</v>
      </c>
      <c r="R47" s="74"/>
      <c r="S47" s="104">
        <v>7.9000000000000008E-3</v>
      </c>
      <c r="T47" s="105">
        <f t="shared" si="19"/>
        <v>6.2410000000000007E-5</v>
      </c>
      <c r="U47" s="105">
        <v>3.8953076923076928E-5</v>
      </c>
      <c r="V47" s="74"/>
      <c r="W47" s="94">
        <v>-0.15859999999999999</v>
      </c>
      <c r="X47" s="106">
        <f t="shared" si="20"/>
        <v>2.5153959999999996E-2</v>
      </c>
      <c r="Y47" s="50">
        <v>-7.8201999999999992E-4</v>
      </c>
      <c r="Z47" s="74"/>
      <c r="AA47" s="104">
        <f t="shared" si="4"/>
        <v>7.0538461538461553E-3</v>
      </c>
      <c r="AB47" s="105">
        <f t="shared" si="21"/>
        <v>4.9756745562130197E-5</v>
      </c>
      <c r="AC47" s="105">
        <f t="shared" si="22"/>
        <v>3.4780887573964503E-5</v>
      </c>
      <c r="AD47" s="74"/>
      <c r="AE47" s="102">
        <f t="shared" si="5"/>
        <v>9.4623076923076935E-2</v>
      </c>
      <c r="AF47" s="102">
        <f t="shared" si="23"/>
        <v>8.9535266863905345E-3</v>
      </c>
      <c r="AG47" s="102">
        <f t="shared" si="24"/>
        <v>4.665645562130178E-4</v>
      </c>
      <c r="AH47" s="74"/>
      <c r="AI47" s="104">
        <v>-4.4692307692307691E-2</v>
      </c>
      <c r="AJ47" s="107">
        <f t="shared" si="25"/>
        <v>1.9974023668639053E-3</v>
      </c>
      <c r="AK47" s="107">
        <v>-2.2036745562130177E-4</v>
      </c>
      <c r="AL47" s="74"/>
      <c r="AM47" s="108">
        <f t="shared" si="6"/>
        <v>2.8446153846153843E-2</v>
      </c>
      <c r="AN47" s="103">
        <f>AM47*AM47</f>
        <v>8.0918366863905308E-4</v>
      </c>
      <c r="AO47" s="103">
        <f t="shared" si="27"/>
        <v>1.4026142011834317E-4</v>
      </c>
      <c r="AP47" s="74"/>
      <c r="AQ47" s="81">
        <f t="shared" si="7"/>
        <v>2.1876923076923079E-2</v>
      </c>
      <c r="AR47" s="103">
        <f t="shared" si="28"/>
        <v>4.7859976331360955E-4</v>
      </c>
      <c r="AS47" s="103">
        <f t="shared" si="29"/>
        <v>1.0787005917159764E-4</v>
      </c>
      <c r="AT47" s="74"/>
      <c r="AU47" s="104">
        <v>-4.5200000000000004E-2</v>
      </c>
      <c r="AV47" s="107">
        <f t="shared" si="30"/>
        <v>2.0430400000000003E-3</v>
      </c>
      <c r="AW47" s="107">
        <v>-2.2287076923076926E-4</v>
      </c>
      <c r="AX47" s="74"/>
      <c r="AY47" s="81">
        <f t="shared" si="8"/>
        <v>-1.7499999999999998E-2</v>
      </c>
      <c r="AZ47" s="103">
        <f t="shared" si="31"/>
        <v>3.0624999999999994E-4</v>
      </c>
      <c r="BA47" s="103">
        <f>AY47*A47</f>
        <v>-8.6288461538461527E-5</v>
      </c>
      <c r="BB47" s="74"/>
      <c r="BC47" s="81">
        <f t="shared" si="9"/>
        <v>-1.9299999999999998E-2</v>
      </c>
      <c r="BD47" s="103">
        <f t="shared" si="33"/>
        <v>3.724899999999999E-4</v>
      </c>
      <c r="BE47" s="103">
        <f t="shared" si="34"/>
        <v>-9.5163846153846138E-5</v>
      </c>
      <c r="BF47" s="74"/>
      <c r="BG47" s="110">
        <f t="shared" si="10"/>
        <v>2.0500000000000001E-2</v>
      </c>
      <c r="BH47" s="111">
        <f t="shared" si="35"/>
        <v>4.2025000000000005E-4</v>
      </c>
      <c r="BI47" s="112">
        <f t="shared" si="36"/>
        <v>1.0108076923076924E-4</v>
      </c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</row>
    <row r="48" spans="1:72" s="6" customFormat="1" ht="13.2" x14ac:dyDescent="0.25">
      <c r="A48" s="144">
        <f t="shared" si="11"/>
        <v>3.273076923076923E-2</v>
      </c>
      <c r="B48" s="99">
        <f t="shared" si="12"/>
        <v>1.0713032544378699E-3</v>
      </c>
      <c r="C48" s="100">
        <f t="shared" si="0"/>
        <v>0.15770000000000001</v>
      </c>
      <c r="D48" s="108">
        <f t="shared" si="37"/>
        <v>2.4869290000000002E-2</v>
      </c>
      <c r="E48" s="81">
        <f t="shared" si="13"/>
        <v>5.1616423076923075E-3</v>
      </c>
      <c r="F48" s="74"/>
      <c r="G48" s="81">
        <f t="shared" si="1"/>
        <v>-5.3307692307692309E-3</v>
      </c>
      <c r="H48" s="102">
        <f t="shared" si="14"/>
        <v>2.841710059171598E-5</v>
      </c>
      <c r="I48" s="102">
        <f t="shared" si="38"/>
        <v>-1.744801775147929E-4</v>
      </c>
      <c r="J48" s="74"/>
      <c r="K48" s="81">
        <f t="shared" si="2"/>
        <v>-2.0692307692307746E-3</v>
      </c>
      <c r="L48" s="102">
        <f t="shared" si="15"/>
        <v>4.2817159763313834E-6</v>
      </c>
      <c r="M48" s="103">
        <f t="shared" si="16"/>
        <v>-6.7727514792899576E-5</v>
      </c>
      <c r="N48" s="74"/>
      <c r="O48" s="81">
        <f t="shared" si="3"/>
        <v>7.2815384615384629E-2</v>
      </c>
      <c r="P48" s="103">
        <f t="shared" si="17"/>
        <v>5.3020802366863925E-3</v>
      </c>
      <c r="Q48" s="102">
        <f t="shared" si="18"/>
        <v>2.3833035502958582E-3</v>
      </c>
      <c r="R48" s="74"/>
      <c r="S48" s="104">
        <v>-6.4299999999999996E-2</v>
      </c>
      <c r="T48" s="105">
        <f t="shared" si="19"/>
        <v>4.1344899999999993E-3</v>
      </c>
      <c r="U48" s="105">
        <v>-2.1045884615384612E-3</v>
      </c>
      <c r="V48" s="74"/>
      <c r="W48" s="94">
        <v>1.9099999999999999E-2</v>
      </c>
      <c r="X48" s="106">
        <f t="shared" si="20"/>
        <v>3.6480999999999997E-4</v>
      </c>
      <c r="Y48" s="50">
        <v>6.2515769230769228E-4</v>
      </c>
      <c r="Z48" s="74"/>
      <c r="AA48" s="104">
        <f t="shared" si="4"/>
        <v>-1.0246153846153844E-2</v>
      </c>
      <c r="AB48" s="105">
        <f t="shared" si="21"/>
        <v>1.0498366863905322E-4</v>
      </c>
      <c r="AC48" s="105">
        <f t="shared" si="22"/>
        <v>-3.3536449704142006E-4</v>
      </c>
      <c r="AD48" s="74"/>
      <c r="AE48" s="102">
        <f t="shared" si="5"/>
        <v>5.3423076923076934E-2</v>
      </c>
      <c r="AF48" s="102">
        <f t="shared" si="23"/>
        <v>2.8540251479289951E-3</v>
      </c>
      <c r="AG48" s="102">
        <f t="shared" si="24"/>
        <v>1.7485784023668642E-3</v>
      </c>
      <c r="AH48" s="74"/>
      <c r="AI48" s="104">
        <v>0.10620769230769231</v>
      </c>
      <c r="AJ48" s="107">
        <f t="shared" si="25"/>
        <v>1.1280073905325445E-2</v>
      </c>
      <c r="AK48" s="107">
        <v>3.4762594674556213E-3</v>
      </c>
      <c r="AL48" s="74"/>
      <c r="AM48" s="108">
        <f t="shared" si="6"/>
        <v>-4.0538461538461579E-3</v>
      </c>
      <c r="AN48" s="103">
        <f t="shared" si="26"/>
        <v>1.6433668639053288E-5</v>
      </c>
      <c r="AO48" s="103">
        <f t="shared" si="27"/>
        <v>-1.3268550295858001E-4</v>
      </c>
      <c r="AP48" s="74"/>
      <c r="AQ48" s="81">
        <f t="shared" si="7"/>
        <v>0.17387692307692307</v>
      </c>
      <c r="AR48" s="103">
        <f t="shared" si="28"/>
        <v>3.0233184378698222E-2</v>
      </c>
      <c r="AS48" s="103">
        <f t="shared" si="29"/>
        <v>5.691125443786982E-3</v>
      </c>
      <c r="AT48" s="74"/>
      <c r="AU48" s="104">
        <v>-2.4E-2</v>
      </c>
      <c r="AV48" s="107">
        <f t="shared" si="30"/>
        <v>5.7600000000000001E-4</v>
      </c>
      <c r="AW48" s="107">
        <v>-7.8553846153846154E-4</v>
      </c>
      <c r="AX48" s="74"/>
      <c r="AY48" s="81">
        <f t="shared" si="8"/>
        <v>8.1499999999999989E-2</v>
      </c>
      <c r="AZ48" s="103">
        <f t="shared" si="31"/>
        <v>6.642249999999998E-3</v>
      </c>
      <c r="BA48" s="103">
        <f t="shared" si="32"/>
        <v>2.6675576923076917E-3</v>
      </c>
      <c r="BB48" s="74"/>
      <c r="BC48" s="81">
        <f t="shared" si="9"/>
        <v>-2.9599999999999994E-2</v>
      </c>
      <c r="BD48" s="103">
        <f t="shared" si="33"/>
        <v>8.7615999999999963E-4</v>
      </c>
      <c r="BE48" s="103">
        <f t="shared" si="34"/>
        <v>-9.6883076923076899E-4</v>
      </c>
      <c r="BF48" s="74"/>
      <c r="BG48" s="110">
        <f t="shared" si="10"/>
        <v>8.7900000000000006E-2</v>
      </c>
      <c r="BH48" s="111">
        <f t="shared" si="35"/>
        <v>7.7264100000000013E-3</v>
      </c>
      <c r="BI48" s="112">
        <f t="shared" si="36"/>
        <v>2.8770346153846153E-3</v>
      </c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</row>
    <row r="49" spans="1:72" s="6" customFormat="1" ht="13.2" x14ac:dyDescent="0.25">
      <c r="A49" s="144">
        <f t="shared" si="11"/>
        <v>5.9230769230769226E-2</v>
      </c>
      <c r="B49" s="99">
        <f t="shared" si="12"/>
        <v>3.5082840236686386E-3</v>
      </c>
      <c r="C49" s="100">
        <f t="shared" si="0"/>
        <v>6.4700000000000008E-2</v>
      </c>
      <c r="D49" s="108">
        <f t="shared" si="37"/>
        <v>4.1860900000000008E-3</v>
      </c>
      <c r="E49" s="81">
        <f t="shared" si="13"/>
        <v>3.8322307692307692E-3</v>
      </c>
      <c r="F49" s="74"/>
      <c r="G49" s="81">
        <f t="shared" si="1"/>
        <v>5.1969230769230768E-2</v>
      </c>
      <c r="H49" s="102">
        <f t="shared" si="14"/>
        <v>2.7008009467455619E-3</v>
      </c>
      <c r="I49" s="102">
        <f t="shared" si="38"/>
        <v>3.0781775147928989E-3</v>
      </c>
      <c r="J49" s="74"/>
      <c r="K49" s="81">
        <f t="shared" si="2"/>
        <v>-7.336923076923077E-2</v>
      </c>
      <c r="L49" s="102">
        <f t="shared" si="15"/>
        <v>5.3830440236686391E-3</v>
      </c>
      <c r="M49" s="103">
        <f t="shared" si="16"/>
        <v>-4.3457159763313604E-3</v>
      </c>
      <c r="N49" s="74"/>
      <c r="O49" s="81">
        <f t="shared" si="3"/>
        <v>-4.6584615384615377E-2</v>
      </c>
      <c r="P49" s="103">
        <f t="shared" si="17"/>
        <v>2.1701263905325439E-3</v>
      </c>
      <c r="Q49" s="102">
        <f t="shared" si="18"/>
        <v>-2.7592426035502951E-3</v>
      </c>
      <c r="R49" s="74"/>
      <c r="S49" s="104">
        <v>0.1794</v>
      </c>
      <c r="T49" s="105">
        <f t="shared" si="19"/>
        <v>3.2184360000000002E-2</v>
      </c>
      <c r="U49" s="105">
        <v>1.0626E-2</v>
      </c>
      <c r="V49" s="74"/>
      <c r="W49" s="94">
        <v>5.8400000000000007E-2</v>
      </c>
      <c r="X49" s="106">
        <f t="shared" si="20"/>
        <v>3.4105600000000008E-3</v>
      </c>
      <c r="Y49" s="50">
        <v>3.4590769230769232E-3</v>
      </c>
      <c r="Z49" s="74"/>
      <c r="AA49" s="104">
        <f t="shared" si="4"/>
        <v>5.1153846153846154E-2</v>
      </c>
      <c r="AB49" s="105">
        <f t="shared" si="21"/>
        <v>2.6167159763313607E-3</v>
      </c>
      <c r="AC49" s="105">
        <f t="shared" si="22"/>
        <v>3.0298816568047333E-3</v>
      </c>
      <c r="AD49" s="74"/>
      <c r="AE49" s="102">
        <f t="shared" si="5"/>
        <v>6.8323076923076931E-2</v>
      </c>
      <c r="AF49" s="102">
        <f t="shared" si="23"/>
        <v>4.6680428402366874E-3</v>
      </c>
      <c r="AG49" s="102">
        <f t="shared" si="24"/>
        <v>4.0468284023668644E-3</v>
      </c>
      <c r="AH49" s="74"/>
      <c r="AI49" s="104">
        <v>3.8707692307692311E-2</v>
      </c>
      <c r="AJ49" s="107">
        <f t="shared" si="25"/>
        <v>1.4982854437869824E-3</v>
      </c>
      <c r="AK49" s="107">
        <v>2.2926863905325442E-3</v>
      </c>
      <c r="AL49" s="74"/>
      <c r="AM49" s="108">
        <f t="shared" si="6"/>
        <v>1.4946153846153845E-2</v>
      </c>
      <c r="AN49" s="103">
        <f t="shared" si="26"/>
        <v>2.2338751479289938E-4</v>
      </c>
      <c r="AO49" s="103">
        <f t="shared" si="27"/>
        <v>8.8527218934911233E-4</v>
      </c>
      <c r="AP49" s="74"/>
      <c r="AQ49" s="81">
        <f t="shared" si="7"/>
        <v>9.5076923076923073E-2</v>
      </c>
      <c r="AR49" s="103">
        <f t="shared" si="28"/>
        <v>9.0396213017751477E-3</v>
      </c>
      <c r="AS49" s="103">
        <f t="shared" si="29"/>
        <v>5.6314792899408274E-3</v>
      </c>
      <c r="AT49" s="74"/>
      <c r="AU49" s="104">
        <v>9.9700000000000011E-2</v>
      </c>
      <c r="AV49" s="107">
        <f t="shared" si="30"/>
        <v>9.9400900000000021E-3</v>
      </c>
      <c r="AW49" s="107">
        <v>5.9053076923076923E-3</v>
      </c>
      <c r="AX49" s="74"/>
      <c r="AY49" s="81">
        <f t="shared" si="8"/>
        <v>3.5900000000000001E-2</v>
      </c>
      <c r="AZ49" s="103">
        <f t="shared" si="31"/>
        <v>1.28881E-3</v>
      </c>
      <c r="BA49" s="103">
        <f t="shared" si="32"/>
        <v>2.1263846153846155E-3</v>
      </c>
      <c r="BB49" s="74"/>
      <c r="BC49" s="81">
        <f t="shared" si="9"/>
        <v>7.5399999999999995E-2</v>
      </c>
      <c r="BD49" s="103">
        <f t="shared" si="33"/>
        <v>5.685159999999999E-3</v>
      </c>
      <c r="BE49" s="103">
        <f t="shared" si="34"/>
        <v>4.4659999999999995E-3</v>
      </c>
      <c r="BF49" s="74"/>
      <c r="BG49" s="110">
        <f t="shared" si="10"/>
        <v>5.5599999999999997E-2</v>
      </c>
      <c r="BH49" s="111">
        <f t="shared" si="35"/>
        <v>3.0913599999999996E-3</v>
      </c>
      <c r="BI49" s="112">
        <f t="shared" si="36"/>
        <v>3.2932307692307688E-3</v>
      </c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</row>
    <row r="50" spans="1:72" s="6" customFormat="1" ht="13.2" x14ac:dyDescent="0.25">
      <c r="A50" s="144">
        <f t="shared" si="11"/>
        <v>-9.7692307692307696E-3</v>
      </c>
      <c r="B50" s="99">
        <f t="shared" si="12"/>
        <v>9.5437869822485212E-5</v>
      </c>
      <c r="C50" s="100">
        <f t="shared" si="0"/>
        <v>7.3300000000000004E-2</v>
      </c>
      <c r="D50" s="108">
        <f t="shared" si="37"/>
        <v>5.3728900000000008E-3</v>
      </c>
      <c r="E50" s="81">
        <f t="shared" si="13"/>
        <v>-7.1608461538461541E-4</v>
      </c>
      <c r="F50" s="74"/>
      <c r="G50" s="81">
        <f t="shared" si="1"/>
        <v>-4.363076923076923E-2</v>
      </c>
      <c r="H50" s="102">
        <f t="shared" si="14"/>
        <v>1.903644023668639E-3</v>
      </c>
      <c r="I50" s="102">
        <f t="shared" si="38"/>
        <v>4.2623905325443788E-4</v>
      </c>
      <c r="J50" s="74"/>
      <c r="K50" s="81">
        <f t="shared" si="2"/>
        <v>0.20993076923076923</v>
      </c>
      <c r="L50" s="102">
        <f t="shared" si="15"/>
        <v>4.4070927869822481E-2</v>
      </c>
      <c r="M50" s="103">
        <f t="shared" si="16"/>
        <v>-2.0508621301775147E-3</v>
      </c>
      <c r="N50" s="74"/>
      <c r="O50" s="81">
        <f t="shared" si="3"/>
        <v>-4.9684615384615383E-2</v>
      </c>
      <c r="P50" s="103">
        <f t="shared" si="17"/>
        <v>2.4685610059171598E-3</v>
      </c>
      <c r="Q50" s="102">
        <f t="shared" si="18"/>
        <v>4.8538047337278107E-4</v>
      </c>
      <c r="R50" s="74"/>
      <c r="S50" s="104">
        <v>-9.9299999999999999E-2</v>
      </c>
      <c r="T50" s="105">
        <f t="shared" si="19"/>
        <v>9.8604899999999995E-3</v>
      </c>
      <c r="U50" s="105">
        <v>9.7008461538461541E-4</v>
      </c>
      <c r="V50" s="74"/>
      <c r="W50" s="94">
        <v>0.2336</v>
      </c>
      <c r="X50" s="106">
        <f t="shared" si="20"/>
        <v>5.456896E-2</v>
      </c>
      <c r="Y50" s="50">
        <v>-2.2820923076923077E-3</v>
      </c>
      <c r="Z50" s="74"/>
      <c r="AA50" s="104">
        <f t="shared" si="4"/>
        <v>-8.6461538461538451E-3</v>
      </c>
      <c r="AB50" s="105">
        <f t="shared" si="21"/>
        <v>7.475597633136093E-5</v>
      </c>
      <c r="AC50" s="105">
        <f t="shared" si="22"/>
        <v>8.4466272189349104E-5</v>
      </c>
      <c r="AD50" s="74"/>
      <c r="AE50" s="102">
        <f t="shared" si="5"/>
        <v>4.1023076923076926E-2</v>
      </c>
      <c r="AF50" s="102">
        <f t="shared" si="23"/>
        <v>1.6828928402366867E-3</v>
      </c>
      <c r="AG50" s="102">
        <f t="shared" si="24"/>
        <v>-4.0076390532544384E-4</v>
      </c>
      <c r="AH50" s="74"/>
      <c r="AI50" s="104">
        <v>-4.8892307692307693E-2</v>
      </c>
      <c r="AJ50" s="107">
        <f t="shared" si="25"/>
        <v>2.3904577514792902E-3</v>
      </c>
      <c r="AK50" s="107">
        <v>4.7764023668639058E-4</v>
      </c>
      <c r="AL50" s="74"/>
      <c r="AM50" s="108">
        <f t="shared" si="6"/>
        <v>1.2461538461538413E-3</v>
      </c>
      <c r="AN50" s="103">
        <f t="shared" si="26"/>
        <v>1.5528994082840116E-6</v>
      </c>
      <c r="AO50" s="103">
        <f t="shared" si="27"/>
        <v>-1.2173964497041373E-5</v>
      </c>
      <c r="AP50" s="74"/>
      <c r="AQ50" s="81">
        <f t="shared" si="7"/>
        <v>-2.252307692307692E-2</v>
      </c>
      <c r="AR50" s="103">
        <f t="shared" si="28"/>
        <v>5.0728899408284008E-4</v>
      </c>
      <c r="AS50" s="103">
        <f>AQ50*A50</f>
        <v>2.2003313609467452E-4</v>
      </c>
      <c r="AT50" s="74"/>
      <c r="AU50" s="104">
        <v>6.7000000000000004E-2</v>
      </c>
      <c r="AV50" s="107">
        <f t="shared" si="30"/>
        <v>4.4890000000000008E-3</v>
      </c>
      <c r="AW50" s="107">
        <v>-6.5453846153846161E-4</v>
      </c>
      <c r="AX50" s="74"/>
      <c r="AY50" s="81">
        <f t="shared" si="8"/>
        <v>-2.9599999999999998E-2</v>
      </c>
      <c r="AZ50" s="103">
        <f t="shared" si="31"/>
        <v>8.7615999999999985E-4</v>
      </c>
      <c r="BA50" s="103">
        <f t="shared" si="32"/>
        <v>2.8916923076923075E-4</v>
      </c>
      <c r="BB50" s="74"/>
      <c r="BC50" s="81">
        <f t="shared" si="9"/>
        <v>0.1148</v>
      </c>
      <c r="BD50" s="103">
        <f t="shared" si="33"/>
        <v>1.317904E-2</v>
      </c>
      <c r="BE50" s="103">
        <f t="shared" si="34"/>
        <v>-1.1215076923076924E-3</v>
      </c>
      <c r="BF50" s="74"/>
      <c r="BG50" s="110">
        <f t="shared" si="10"/>
        <v>3.7999999999999999E-2</v>
      </c>
      <c r="BH50" s="111">
        <f t="shared" si="35"/>
        <v>1.444E-3</v>
      </c>
      <c r="BI50" s="112">
        <f t="shared" si="36"/>
        <v>-3.7123076923076926E-4</v>
      </c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</row>
    <row r="51" spans="1:72" s="6" customFormat="1" ht="13.2" x14ac:dyDescent="0.25">
      <c r="A51" s="144">
        <f t="shared" si="11"/>
        <v>5.9307692307692299E-3</v>
      </c>
      <c r="B51" s="99">
        <f t="shared" si="12"/>
        <v>3.5174023668639042E-5</v>
      </c>
      <c r="C51" s="100">
        <f t="shared" si="0"/>
        <v>4.3000000000000087E-3</v>
      </c>
      <c r="D51" s="108">
        <f t="shared" si="37"/>
        <v>1.8490000000000075E-5</v>
      </c>
      <c r="E51" s="81">
        <f t="shared" si="13"/>
        <v>2.550230769230774E-5</v>
      </c>
      <c r="F51" s="74"/>
      <c r="G51" s="81">
        <f t="shared" si="1"/>
        <v>3.4069230769230768E-2</v>
      </c>
      <c r="H51" s="102">
        <f t="shared" si="14"/>
        <v>1.1607124852071006E-3</v>
      </c>
      <c r="I51" s="102">
        <f t="shared" si="38"/>
        <v>2.0205674556213015E-4</v>
      </c>
      <c r="J51" s="74"/>
      <c r="K51" s="81">
        <f t="shared" si="2"/>
        <v>0.12313076923076924</v>
      </c>
      <c r="L51" s="102">
        <f t="shared" si="15"/>
        <v>1.5161186331360949E-2</v>
      </c>
      <c r="M51" s="103">
        <f t="shared" si="16"/>
        <v>7.3026017751479284E-4</v>
      </c>
      <c r="N51" s="74"/>
      <c r="O51" s="81">
        <f t="shared" si="3"/>
        <v>1.1538461538461789E-4</v>
      </c>
      <c r="P51" s="103">
        <f t="shared" si="17"/>
        <v>1.3313609467456199E-8</v>
      </c>
      <c r="Q51" s="102">
        <f t="shared" si="18"/>
        <v>6.8431952662723367E-7</v>
      </c>
      <c r="R51" s="74"/>
      <c r="S51" s="104">
        <v>-5.9499999999999997E-2</v>
      </c>
      <c r="T51" s="105">
        <f t="shared" si="19"/>
        <v>3.5402499999999996E-3</v>
      </c>
      <c r="U51" s="105">
        <v>-3.5288076923076917E-4</v>
      </c>
      <c r="V51" s="74"/>
      <c r="W51" s="94">
        <v>3.85E-2</v>
      </c>
      <c r="X51" s="106">
        <f t="shared" si="20"/>
        <v>1.4822500000000001E-3</v>
      </c>
      <c r="Y51" s="50">
        <v>2.2833461538461535E-4</v>
      </c>
      <c r="Z51" s="74"/>
      <c r="AA51" s="104">
        <f t="shared" si="4"/>
        <v>5.5853846153846157E-2</v>
      </c>
      <c r="AB51" s="105">
        <f t="shared" si="21"/>
        <v>3.1196521301775151E-3</v>
      </c>
      <c r="AC51" s="105">
        <f t="shared" si="22"/>
        <v>3.3125627218934906E-4</v>
      </c>
      <c r="AD51" s="74"/>
      <c r="AE51" s="102">
        <f t="shared" si="5"/>
        <v>-5.9576923076923069E-2</v>
      </c>
      <c r="AF51" s="102">
        <f t="shared" si="23"/>
        <v>3.5494097633136084E-3</v>
      </c>
      <c r="AG51" s="102">
        <f t="shared" si="24"/>
        <v>-3.5333698224852063E-4</v>
      </c>
      <c r="AH51" s="74"/>
      <c r="AI51" s="104">
        <v>4.6076923076923109E-3</v>
      </c>
      <c r="AJ51" s="107">
        <f t="shared" si="25"/>
        <v>2.1230828402366894E-5</v>
      </c>
      <c r="AK51" s="107">
        <v>2.7327159763313623E-5</v>
      </c>
      <c r="AL51" s="74"/>
      <c r="AM51" s="108">
        <f t="shared" si="6"/>
        <v>3.9346153846153836E-2</v>
      </c>
      <c r="AN51" s="103">
        <f t="shared" si="26"/>
        <v>1.5481198224852064E-3</v>
      </c>
      <c r="AO51" s="103">
        <f t="shared" si="27"/>
        <v>2.3335295857988155E-4</v>
      </c>
      <c r="AP51" s="74"/>
      <c r="AQ51" s="81">
        <f t="shared" si="7"/>
        <v>-7.0223076923076916E-2</v>
      </c>
      <c r="AR51" s="103">
        <f t="shared" si="28"/>
        <v>4.9312805325443781E-3</v>
      </c>
      <c r="AS51" s="103">
        <f t="shared" si="29"/>
        <v>-4.1647686390532536E-4</v>
      </c>
      <c r="AT51" s="74"/>
      <c r="AU51" s="104">
        <v>-1.1099999999999999E-2</v>
      </c>
      <c r="AV51" s="107">
        <f t="shared" si="30"/>
        <v>1.2320999999999998E-4</v>
      </c>
      <c r="AW51" s="107">
        <v>-6.5831538461538446E-5</v>
      </c>
      <c r="AX51" s="74"/>
      <c r="AY51" s="81">
        <f t="shared" si="8"/>
        <v>6.3600000000000004E-2</v>
      </c>
      <c r="AZ51" s="103">
        <f t="shared" si="31"/>
        <v>4.0449600000000002E-3</v>
      </c>
      <c r="BA51" s="103">
        <f t="shared" si="32"/>
        <v>3.7719692307692306E-4</v>
      </c>
      <c r="BB51" s="74"/>
      <c r="BC51" s="81">
        <f t="shared" si="9"/>
        <v>-5.1299999999999998E-2</v>
      </c>
      <c r="BD51" s="103">
        <f t="shared" si="33"/>
        <v>2.6316899999999999E-3</v>
      </c>
      <c r="BE51" s="103">
        <f t="shared" si="34"/>
        <v>-3.0424846153846149E-4</v>
      </c>
      <c r="BF51" s="74"/>
      <c r="BG51" s="110">
        <f t="shared" si="10"/>
        <v>-2.1199999999999997E-2</v>
      </c>
      <c r="BH51" s="111">
        <f t="shared" si="35"/>
        <v>4.4943999999999984E-4</v>
      </c>
      <c r="BI51" s="112">
        <f t="shared" si="36"/>
        <v>-1.2573230769230765E-4</v>
      </c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</row>
    <row r="52" spans="1:72" s="6" customFormat="1" ht="13.2" x14ac:dyDescent="0.25">
      <c r="A52" s="144">
        <f t="shared" si="11"/>
        <v>9.2307692307692299E-3</v>
      </c>
      <c r="B52" s="99">
        <f t="shared" si="12"/>
        <v>8.5207100591715959E-5</v>
      </c>
      <c r="C52" s="100">
        <f t="shared" si="0"/>
        <v>3.3900000000000013E-2</v>
      </c>
      <c r="D52" s="108">
        <f t="shared" si="37"/>
        <v>1.149210000000001E-3</v>
      </c>
      <c r="E52" s="81">
        <f t="shared" si="13"/>
        <v>3.1292307692307701E-4</v>
      </c>
      <c r="F52" s="74"/>
      <c r="G52" s="81">
        <f t="shared" si="1"/>
        <v>2.0969230769230771E-2</v>
      </c>
      <c r="H52" s="102">
        <f t="shared" si="14"/>
        <v>4.3970863905325451E-4</v>
      </c>
      <c r="I52" s="102">
        <f t="shared" si="38"/>
        <v>1.9356213017751481E-4</v>
      </c>
      <c r="J52" s="74"/>
      <c r="K52" s="81">
        <f t="shared" si="2"/>
        <v>-5.3569230769230772E-2</v>
      </c>
      <c r="L52" s="102">
        <f t="shared" si="15"/>
        <v>2.8696624852071009E-3</v>
      </c>
      <c r="M52" s="103">
        <f t="shared" si="16"/>
        <v>-4.9448520710059169E-4</v>
      </c>
      <c r="N52" s="74"/>
      <c r="O52" s="81">
        <f t="shared" si="3"/>
        <v>9.9115384615384619E-2</v>
      </c>
      <c r="P52" s="103">
        <f t="shared" si="17"/>
        <v>9.8238594674556218E-3</v>
      </c>
      <c r="Q52" s="102">
        <f t="shared" si="18"/>
        <v>9.1491124260355023E-4</v>
      </c>
      <c r="R52" s="74"/>
      <c r="S52" s="104">
        <v>-7.7800000000000008E-2</v>
      </c>
      <c r="T52" s="105">
        <f t="shared" si="19"/>
        <v>6.0528400000000012E-3</v>
      </c>
      <c r="U52" s="105">
        <v>-7.1815384615384612E-4</v>
      </c>
      <c r="V52" s="74"/>
      <c r="W52" s="94">
        <v>2.9600000000000001E-2</v>
      </c>
      <c r="X52" s="106">
        <f t="shared" si="20"/>
        <v>8.7616000000000007E-4</v>
      </c>
      <c r="Y52" s="50">
        <v>2.7323076923076921E-4</v>
      </c>
      <c r="Z52" s="74"/>
      <c r="AA52" s="104">
        <f t="shared" si="4"/>
        <v>3.0853846153846148E-2</v>
      </c>
      <c r="AB52" s="105">
        <f t="shared" si="21"/>
        <v>9.5195982248520673E-4</v>
      </c>
      <c r="AC52" s="105">
        <f t="shared" si="22"/>
        <v>2.848047337278106E-4</v>
      </c>
      <c r="AD52" s="74"/>
      <c r="AE52" s="102">
        <f t="shared" si="5"/>
        <v>-1.0976923076923072E-2</v>
      </c>
      <c r="AF52" s="102">
        <f t="shared" si="23"/>
        <v>1.2049284023668627E-4</v>
      </c>
      <c r="AG52" s="102">
        <f t="shared" si="24"/>
        <v>-1.0132544378698219E-4</v>
      </c>
      <c r="AH52" s="74"/>
      <c r="AI52" s="104">
        <v>-7.9492307692307695E-2</v>
      </c>
      <c r="AJ52" s="107">
        <f t="shared" si="25"/>
        <v>6.3190269822485214E-3</v>
      </c>
      <c r="AK52" s="107">
        <v>-7.3377514792899402E-4</v>
      </c>
      <c r="AL52" s="74"/>
      <c r="AM52" s="108">
        <f t="shared" si="6"/>
        <v>5.6746153846153835E-2</v>
      </c>
      <c r="AN52" s="103">
        <f t="shared" si="26"/>
        <v>3.2201259763313598E-3</v>
      </c>
      <c r="AO52" s="103">
        <f t="shared" si="27"/>
        <v>5.2381065088757386E-4</v>
      </c>
      <c r="AP52" s="74"/>
      <c r="AQ52" s="81">
        <f t="shared" si="7"/>
        <v>-0.12362307692307692</v>
      </c>
      <c r="AR52" s="103">
        <f t="shared" si="28"/>
        <v>1.5282665147928993E-2</v>
      </c>
      <c r="AS52" s="103">
        <f t="shared" si="29"/>
        <v>-1.141136094674556E-3</v>
      </c>
      <c r="AT52" s="74"/>
      <c r="AU52" s="104">
        <v>-0.1205</v>
      </c>
      <c r="AV52" s="107">
        <f t="shared" si="30"/>
        <v>1.4520249999999998E-2</v>
      </c>
      <c r="AW52" s="107">
        <v>-1.1123076923076922E-3</v>
      </c>
      <c r="AX52" s="74"/>
      <c r="AY52" s="81">
        <f t="shared" si="8"/>
        <v>-1.7399999999999999E-2</v>
      </c>
      <c r="AZ52" s="103">
        <f t="shared" si="31"/>
        <v>3.0275999999999995E-4</v>
      </c>
      <c r="BA52" s="103">
        <f t="shared" si="32"/>
        <v>-1.6061538461538459E-4</v>
      </c>
      <c r="BB52" s="74"/>
      <c r="BC52" s="81">
        <f t="shared" si="9"/>
        <v>5.3499999999999999E-2</v>
      </c>
      <c r="BD52" s="103">
        <f t="shared" si="33"/>
        <v>2.8622499999999998E-3</v>
      </c>
      <c r="BE52" s="103">
        <f t="shared" si="34"/>
        <v>4.9384615384615374E-4</v>
      </c>
      <c r="BF52" s="74"/>
      <c r="BG52" s="110">
        <f t="shared" si="10"/>
        <v>5.5100000000000003E-2</v>
      </c>
      <c r="BH52" s="111">
        <f t="shared" si="35"/>
        <v>3.0360100000000004E-3</v>
      </c>
      <c r="BI52" s="112">
        <f t="shared" si="36"/>
        <v>5.0861538461538459E-4</v>
      </c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</row>
    <row r="53" spans="1:72" s="6" customFormat="1" ht="13.2" x14ac:dyDescent="0.25">
      <c r="A53" s="144">
        <f t="shared" si="11"/>
        <v>5.3307692307692301E-3</v>
      </c>
      <c r="B53" s="99">
        <f t="shared" si="12"/>
        <v>2.8417100591715969E-5</v>
      </c>
      <c r="C53" s="100">
        <f t="shared" si="0"/>
        <v>6.3700000000000007E-2</v>
      </c>
      <c r="D53" s="108">
        <f t="shared" si="37"/>
        <v>4.0576900000000009E-3</v>
      </c>
      <c r="E53" s="81">
        <f t="shared" si="13"/>
        <v>3.3956999999999998E-4</v>
      </c>
      <c r="F53" s="74"/>
      <c r="G53" s="81">
        <f t="shared" si="1"/>
        <v>5.2692307692307656E-3</v>
      </c>
      <c r="H53" s="102">
        <f t="shared" si="14"/>
        <v>2.7764792899408247E-5</v>
      </c>
      <c r="I53" s="102">
        <f t="shared" si="38"/>
        <v>2.8089053254437848E-5</v>
      </c>
      <c r="J53" s="74"/>
      <c r="K53" s="81">
        <f t="shared" si="2"/>
        <v>-4.6869230769230774E-2</v>
      </c>
      <c r="L53" s="102">
        <f t="shared" si="15"/>
        <v>2.1967247928994086E-3</v>
      </c>
      <c r="M53" s="103">
        <f t="shared" si="16"/>
        <v>-2.4984905325443787E-4</v>
      </c>
      <c r="N53" s="74"/>
      <c r="O53" s="81">
        <f t="shared" si="3"/>
        <v>9.3715384615384617E-2</v>
      </c>
      <c r="P53" s="103">
        <f t="shared" si="17"/>
        <v>8.7825733136094684E-3</v>
      </c>
      <c r="Q53" s="102">
        <f t="shared" si="18"/>
        <v>4.9957508875739644E-4</v>
      </c>
      <c r="R53" s="74"/>
      <c r="S53" s="104">
        <v>6.0099999999999994E-2</v>
      </c>
      <c r="T53" s="105">
        <f t="shared" si="19"/>
        <v>3.6120099999999993E-3</v>
      </c>
      <c r="U53" s="105">
        <v>3.2037923076923069E-4</v>
      </c>
      <c r="V53" s="74"/>
      <c r="W53" s="94">
        <v>-0.1019</v>
      </c>
      <c r="X53" s="106">
        <f t="shared" si="20"/>
        <v>1.0383610000000001E-2</v>
      </c>
      <c r="Y53" s="50">
        <v>-5.4320538461538452E-4</v>
      </c>
      <c r="Z53" s="74"/>
      <c r="AA53" s="104">
        <f t="shared" si="4"/>
        <v>-2.9446153846153844E-2</v>
      </c>
      <c r="AB53" s="105">
        <f t="shared" si="21"/>
        <v>8.6707597633136084E-4</v>
      </c>
      <c r="AC53" s="105">
        <f t="shared" si="22"/>
        <v>-1.5697065088757394E-4</v>
      </c>
      <c r="AD53" s="74"/>
      <c r="AE53" s="102">
        <f t="shared" si="5"/>
        <v>5.4623076923076927E-2</v>
      </c>
      <c r="AF53" s="102">
        <f t="shared" si="23"/>
        <v>2.9836805325443791E-3</v>
      </c>
      <c r="AG53" s="102">
        <f t="shared" si="24"/>
        <v>2.9118301775147925E-4</v>
      </c>
      <c r="AH53" s="74"/>
      <c r="AI53" s="104">
        <v>3.4907692307692313E-2</v>
      </c>
      <c r="AJ53" s="107">
        <f t="shared" si="25"/>
        <v>1.2185469822485211E-3</v>
      </c>
      <c r="AK53" s="107">
        <v>1.8608485207100592E-4</v>
      </c>
      <c r="AL53" s="74"/>
      <c r="AM53" s="108">
        <f t="shared" si="6"/>
        <v>-7.7353846153846162E-2</v>
      </c>
      <c r="AN53" s="103">
        <f t="shared" si="26"/>
        <v>5.9836175147929003E-3</v>
      </c>
      <c r="AO53" s="103">
        <f t="shared" si="27"/>
        <v>-4.1235550295857989E-4</v>
      </c>
      <c r="AP53" s="74"/>
      <c r="AQ53" s="81">
        <f t="shared" si="7"/>
        <v>-1.0723076923076919E-2</v>
      </c>
      <c r="AR53" s="103">
        <f t="shared" si="28"/>
        <v>1.1498437869822475E-4</v>
      </c>
      <c r="AS53" s="103">
        <f t="shared" si="29"/>
        <v>-5.7162248520710026E-5</v>
      </c>
      <c r="AT53" s="74"/>
      <c r="AU53" s="104">
        <v>-0.1105</v>
      </c>
      <c r="AV53" s="107">
        <f t="shared" si="30"/>
        <v>1.2210250000000001E-2</v>
      </c>
      <c r="AW53" s="107">
        <v>-5.8904999999999993E-4</v>
      </c>
      <c r="AX53" s="74"/>
      <c r="AY53" s="81">
        <f t="shared" si="8"/>
        <v>3.9000000000000007E-2</v>
      </c>
      <c r="AZ53" s="103">
        <f t="shared" si="31"/>
        <v>1.5210000000000004E-3</v>
      </c>
      <c r="BA53" s="103">
        <f t="shared" si="32"/>
        <v>2.0790000000000001E-4</v>
      </c>
      <c r="BB53" s="74"/>
      <c r="BC53" s="81">
        <f t="shared" si="9"/>
        <v>2.86E-2</v>
      </c>
      <c r="BD53" s="103">
        <f t="shared" si="33"/>
        <v>8.1796000000000006E-4</v>
      </c>
      <c r="BE53" s="103">
        <f t="shared" si="34"/>
        <v>1.5245999999999999E-4</v>
      </c>
      <c r="BF53" s="74"/>
      <c r="BG53" s="110">
        <f t="shared" si="10"/>
        <v>-3.4099999999999998E-2</v>
      </c>
      <c r="BH53" s="111">
        <f t="shared" si="35"/>
        <v>1.1628099999999998E-3</v>
      </c>
      <c r="BI53" s="112">
        <f t="shared" si="36"/>
        <v>-1.8177923076923073E-4</v>
      </c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</row>
    <row r="54" spans="1:72" s="6" customFormat="1" ht="13.2" x14ac:dyDescent="0.25">
      <c r="A54" s="144">
        <f>B34-$B$36</f>
        <v>-6.7692307692307696E-3</v>
      </c>
      <c r="B54" s="99">
        <f t="shared" si="12"/>
        <v>4.5822485207100595E-5</v>
      </c>
      <c r="C54" s="100">
        <f t="shared" si="0"/>
        <v>0.12279999999999999</v>
      </c>
      <c r="D54" s="108">
        <f t="shared" si="37"/>
        <v>1.5079839999999999E-2</v>
      </c>
      <c r="E54" s="81">
        <f t="shared" si="13"/>
        <v>-8.312615384615384E-4</v>
      </c>
      <c r="F54" s="74"/>
      <c r="G54" s="81">
        <f t="shared" si="1"/>
        <v>1.3569230769230767E-2</v>
      </c>
      <c r="H54" s="102">
        <f t="shared" si="14"/>
        <v>1.8412402366863902E-4</v>
      </c>
      <c r="I54" s="102">
        <f t="shared" si="38"/>
        <v>-9.1853254437869811E-5</v>
      </c>
      <c r="J54" s="74"/>
      <c r="K54" s="81">
        <f t="shared" si="2"/>
        <v>4.7330769230769232E-2</v>
      </c>
      <c r="L54" s="102">
        <f t="shared" si="15"/>
        <v>2.2402017159763314E-3</v>
      </c>
      <c r="M54" s="103">
        <f t="shared" si="16"/>
        <v>-3.2039289940828403E-4</v>
      </c>
      <c r="N54" s="74"/>
      <c r="O54" s="81">
        <f t="shared" si="3"/>
        <v>-3.068461538461538E-2</v>
      </c>
      <c r="P54" s="103">
        <f t="shared" si="17"/>
        <v>9.415456213017748E-4</v>
      </c>
      <c r="Q54" s="102">
        <f t="shared" si="18"/>
        <v>2.0771124260355028E-4</v>
      </c>
      <c r="R54" s="74"/>
      <c r="S54" s="104">
        <v>7.4899999999999994E-2</v>
      </c>
      <c r="T54" s="105">
        <f t="shared" si="19"/>
        <v>5.6100099999999995E-3</v>
      </c>
      <c r="U54" s="105">
        <v>-5.0701538461538455E-4</v>
      </c>
      <c r="V54" s="74"/>
      <c r="W54" s="94">
        <v>-5.4599999999999996E-2</v>
      </c>
      <c r="X54" s="106">
        <f t="shared" si="20"/>
        <v>2.9811599999999996E-3</v>
      </c>
      <c r="Y54" s="50">
        <v>3.6959999999999998E-4</v>
      </c>
      <c r="Z54" s="74"/>
      <c r="AA54" s="104">
        <f t="shared" si="4"/>
        <v>-7.6746153846153853E-2</v>
      </c>
      <c r="AB54" s="105">
        <f t="shared" si="21"/>
        <v>5.8899721301775157E-3</v>
      </c>
      <c r="AC54" s="105">
        <f t="shared" si="22"/>
        <v>5.1951242603550307E-4</v>
      </c>
      <c r="AD54" s="74"/>
      <c r="AE54" s="102">
        <f t="shared" si="5"/>
        <v>-3.1376923076923073E-2</v>
      </c>
      <c r="AF54" s="102">
        <f t="shared" si="23"/>
        <v>9.845113017751476E-4</v>
      </c>
      <c r="AG54" s="102">
        <f t="shared" si="24"/>
        <v>2.1239763313609465E-4</v>
      </c>
      <c r="AH54" s="74"/>
      <c r="AI54" s="104">
        <v>0.1046076923076923</v>
      </c>
      <c r="AJ54" s="107">
        <f t="shared" si="25"/>
        <v>1.0942769289940828E-2</v>
      </c>
      <c r="AK54" s="107">
        <v>-7.0811360946745569E-4</v>
      </c>
      <c r="AL54" s="74"/>
      <c r="AM54" s="108">
        <f t="shared" si="6"/>
        <v>9.7246153846153829E-2</v>
      </c>
      <c r="AN54" s="103">
        <f>AM54*AM54</f>
        <v>9.4568144378698194E-3</v>
      </c>
      <c r="AO54" s="103">
        <f t="shared" si="27"/>
        <v>-6.5828165680473368E-4</v>
      </c>
      <c r="AP54" s="74"/>
      <c r="AQ54" s="81">
        <f t="shared" si="7"/>
        <v>5.7976923076923079E-2</v>
      </c>
      <c r="AR54" s="103">
        <f t="shared" si="28"/>
        <v>3.3613236094674559E-3</v>
      </c>
      <c r="AS54" s="103">
        <f t="shared" si="29"/>
        <v>-3.9245917159763319E-4</v>
      </c>
      <c r="AT54" s="74"/>
      <c r="AU54" s="104">
        <v>-8.8999999999999999E-3</v>
      </c>
      <c r="AV54" s="107">
        <f t="shared" si="30"/>
        <v>7.9209999999999995E-5</v>
      </c>
      <c r="AW54" s="107">
        <v>6.0246153846153846E-5</v>
      </c>
      <c r="AX54" s="74"/>
      <c r="AY54" s="81">
        <f t="shared" si="8"/>
        <v>2.4000000000000028E-3</v>
      </c>
      <c r="AZ54" s="103">
        <f t="shared" si="31"/>
        <v>5.7600000000000135E-6</v>
      </c>
      <c r="BA54" s="103">
        <f t="shared" si="32"/>
        <v>-1.6246153846153864E-5</v>
      </c>
      <c r="BB54" s="74"/>
      <c r="BC54" s="81">
        <f t="shared" si="9"/>
        <v>0.1028</v>
      </c>
      <c r="BD54" s="103">
        <f t="shared" si="33"/>
        <v>1.056784E-2</v>
      </c>
      <c r="BE54" s="103">
        <f t="shared" si="34"/>
        <v>-6.9587692307692317E-4</v>
      </c>
      <c r="BF54" s="74"/>
      <c r="BG54" s="110">
        <f t="shared" si="10"/>
        <v>-7.4700000000000003E-2</v>
      </c>
      <c r="BH54" s="111">
        <f t="shared" si="35"/>
        <v>5.5800900000000002E-3</v>
      </c>
      <c r="BI54" s="112">
        <f t="shared" si="36"/>
        <v>5.0566153846153851E-4</v>
      </c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</row>
    <row r="55" spans="1:72" s="6" customFormat="1" ht="13.8" thickBot="1" x14ac:dyDescent="0.3">
      <c r="A55" s="156"/>
      <c r="B55" s="157">
        <f>SUM(B42:B54)</f>
        <v>1.0829467692307693E-2</v>
      </c>
      <c r="C55" s="100" t="s">
        <v>22</v>
      </c>
      <c r="D55" s="108">
        <f>SUM(D42:D54)</f>
        <v>0.11063935999999999</v>
      </c>
      <c r="E55" s="81">
        <f>SUM(E42:E54)</f>
        <v>1.9392969999999999E-2</v>
      </c>
      <c r="F55" s="74"/>
      <c r="G55" s="110" t="s">
        <v>22</v>
      </c>
      <c r="H55" s="102">
        <f>SUM(H42:H54)</f>
        <v>9.6404876923076952E-3</v>
      </c>
      <c r="I55" s="102">
        <f>SUM(I42:I54)</f>
        <v>5.0469961538461535E-3</v>
      </c>
      <c r="J55" s="74"/>
      <c r="K55" s="110" t="s">
        <v>22</v>
      </c>
      <c r="L55" s="102">
        <f>SUM(L42:L54)</f>
        <v>0.11565612769230769</v>
      </c>
      <c r="M55" s="102">
        <f>SUM(M42:M54)</f>
        <v>5.6762176923076946E-3</v>
      </c>
      <c r="N55" s="74"/>
      <c r="O55" s="110" t="s">
        <v>22</v>
      </c>
      <c r="P55" s="102">
        <f>SUM(P42:P54)</f>
        <v>8.4881056923076931E-2</v>
      </c>
      <c r="Q55" s="102">
        <f>SUM(Q42:Q54)</f>
        <v>1.4297573846153849E-2</v>
      </c>
      <c r="R55" s="74"/>
      <c r="S55" s="113" t="s">
        <v>22</v>
      </c>
      <c r="T55" s="105">
        <f>SUM(T42:T54)</f>
        <v>0.12286647000000001</v>
      </c>
      <c r="U55" s="105">
        <f>SUM(U42:U54)</f>
        <v>1.9124919230769227E-2</v>
      </c>
      <c r="V55" s="74"/>
      <c r="W55" s="94" t="s">
        <v>22</v>
      </c>
      <c r="X55" s="114">
        <f>SUM(X42:X54)</f>
        <v>0.11578484</v>
      </c>
      <c r="Y55" s="50">
        <v>7.9581284615384603E-3</v>
      </c>
      <c r="Z55" s="74"/>
      <c r="AA55" s="113" t="s">
        <v>22</v>
      </c>
      <c r="AB55" s="105">
        <f>SUM(AB43:AB54)</f>
        <v>3.1879550177514794E-2</v>
      </c>
      <c r="AC55" s="105">
        <f>SUM(AC43:AC54)</f>
        <v>1.2120882189349114E-2</v>
      </c>
      <c r="AD55" s="74"/>
      <c r="AE55" s="110" t="s">
        <v>22</v>
      </c>
      <c r="AF55" s="102">
        <f>SUM(AF43:AF54)</f>
        <v>4.8700102544378704E-2</v>
      </c>
      <c r="AG55" s="102">
        <f>SUM(AG43:AG54)</f>
        <v>1.6879803905325442E-2</v>
      </c>
      <c r="AH55" s="74"/>
      <c r="AI55" s="113" t="s">
        <v>22</v>
      </c>
      <c r="AJ55" s="107">
        <f>SUM(AJ42:AJ54)</f>
        <v>6.7036189230769219E-2</v>
      </c>
      <c r="AK55" s="107">
        <f>SUM(AK42:AK54)</f>
        <v>1.2658246923076924E-2</v>
      </c>
      <c r="AL55" s="74"/>
      <c r="AM55" s="110" t="s">
        <v>22</v>
      </c>
      <c r="AN55" s="102">
        <f>SUM(AN42:AN54)</f>
        <v>3.6220632307692305E-2</v>
      </c>
      <c r="AO55" s="102">
        <f>SUM(AO42:AO54)</f>
        <v>9.6864015384615382E-3</v>
      </c>
      <c r="AP55" s="74"/>
      <c r="AQ55" s="110" t="s">
        <v>22</v>
      </c>
      <c r="AR55" s="102">
        <f>SUM(AR42:AR54)</f>
        <v>7.5362583076923076E-2</v>
      </c>
      <c r="AS55" s="102">
        <f>SUM(AS42:AS54)</f>
        <v>1.4409209230769231E-2</v>
      </c>
      <c r="AT55" s="74"/>
      <c r="AU55" s="113" t="s">
        <v>22</v>
      </c>
      <c r="AV55" s="115">
        <f>SUM(AV42:AV54)</f>
        <v>9.2035760000000022E-2</v>
      </c>
      <c r="AW55" s="105">
        <f>SUM(AW42:AW54)</f>
        <v>9.4367184615384639E-3</v>
      </c>
      <c r="AX55" s="74"/>
      <c r="AY55" s="110" t="s">
        <v>22</v>
      </c>
      <c r="AZ55" s="102">
        <f>SUM(AZ42:AZ54)</f>
        <v>4.9125060000000005E-2</v>
      </c>
      <c r="BA55" s="102">
        <f>SUM(BA42:BA54)</f>
        <v>1.2876930000000002E-2</v>
      </c>
      <c r="BB55" s="74"/>
      <c r="BC55" s="110" t="s">
        <v>22</v>
      </c>
      <c r="BD55" s="102">
        <f>SUM(BD42:BD54)</f>
        <v>8.1496480000000024E-2</v>
      </c>
      <c r="BE55" s="102">
        <f>SUM(BE42:BE54)</f>
        <v>1.6000390000000003E-2</v>
      </c>
      <c r="BF55" s="74"/>
      <c r="BG55" s="110" t="s">
        <v>22</v>
      </c>
      <c r="BH55" s="102">
        <f>SUM(BH42:BH54)</f>
        <v>5.804266000000001E-2</v>
      </c>
      <c r="BI55" s="102">
        <f>SUM(BI42:BI54)</f>
        <v>1.9420460000000001E-2</v>
      </c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</row>
    <row r="56" spans="1:72" s="6" customFormat="1" ht="13.2" x14ac:dyDescent="0.25">
      <c r="A56" s="154" t="s">
        <v>78</v>
      </c>
      <c r="B56" s="155">
        <f>B55/13</f>
        <v>8.3303597633136101E-4</v>
      </c>
      <c r="C56" s="116"/>
      <c r="D56" s="117">
        <f>D55/13</f>
        <v>8.5107199999999994E-3</v>
      </c>
      <c r="E56" s="72"/>
      <c r="F56" s="74"/>
      <c r="G56" s="118" t="s">
        <v>75</v>
      </c>
      <c r="H56" s="119">
        <f>H55/13</f>
        <v>7.415759763313612E-4</v>
      </c>
      <c r="I56" s="72"/>
      <c r="J56" s="74"/>
      <c r="K56" s="72"/>
      <c r="L56" s="119">
        <f>L55/13</f>
        <v>8.8966252071005919E-3</v>
      </c>
      <c r="M56" s="72"/>
      <c r="N56" s="74"/>
      <c r="O56" s="72"/>
      <c r="P56" s="119">
        <f>P55/13</f>
        <v>6.5293120710059179E-3</v>
      </c>
      <c r="Q56" s="72"/>
      <c r="R56" s="74"/>
      <c r="S56" s="12"/>
      <c r="T56" s="120">
        <f>T55/13</f>
        <v>9.4512669230769238E-3</v>
      </c>
      <c r="U56" s="12"/>
      <c r="V56" s="74"/>
      <c r="W56" s="12"/>
      <c r="X56" s="120">
        <f>X55/13</f>
        <v>8.9065261538461542E-3</v>
      </c>
      <c r="Y56" s="12"/>
      <c r="Z56" s="74"/>
      <c r="AA56" s="12"/>
      <c r="AB56" s="121">
        <f>AB55/13</f>
        <v>2.4522730905780612E-3</v>
      </c>
      <c r="AC56" s="12"/>
      <c r="AD56" s="74"/>
      <c r="AE56" s="72"/>
      <c r="AF56" s="119">
        <f>AF55/13</f>
        <v>3.746161734182977E-3</v>
      </c>
      <c r="AG56" s="72"/>
      <c r="AH56" s="74"/>
      <c r="AI56" s="113"/>
      <c r="AJ56" s="122">
        <f>AJ55/13</f>
        <v>5.1566299408284015E-3</v>
      </c>
      <c r="AK56" s="105"/>
      <c r="AL56" s="74"/>
      <c r="AM56" s="72"/>
      <c r="AN56" s="119">
        <f>AN55/13</f>
        <v>2.7862024852071004E-3</v>
      </c>
      <c r="AO56" s="72"/>
      <c r="AP56" s="74"/>
      <c r="AQ56" s="72"/>
      <c r="AR56" s="119">
        <f>AR55/13</f>
        <v>5.797121775147929E-3</v>
      </c>
      <c r="AS56" s="72"/>
      <c r="AT56" s="74"/>
      <c r="AU56" s="123" t="s">
        <v>75</v>
      </c>
      <c r="AV56" s="121">
        <f>AV55/13</f>
        <v>7.0796738461538482E-3</v>
      </c>
      <c r="AW56" s="12"/>
      <c r="AX56" s="74"/>
      <c r="AY56" s="72"/>
      <c r="AZ56" s="119">
        <f>AZ55/13</f>
        <v>3.7788507692307696E-3</v>
      </c>
      <c r="BA56" s="72"/>
      <c r="BB56" s="74"/>
      <c r="BC56" s="72"/>
      <c r="BD56" s="119">
        <f>BD55/13</f>
        <v>6.2689600000000022E-3</v>
      </c>
      <c r="BE56" s="72"/>
      <c r="BF56" s="74"/>
      <c r="BG56" s="72"/>
      <c r="BH56" s="119">
        <f>BH55/13</f>
        <v>4.4648200000000004E-3</v>
      </c>
      <c r="BI56" s="72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</row>
    <row r="57" spans="1:72" s="6" customFormat="1" ht="13.2" x14ac:dyDescent="0.25">
      <c r="A57" s="70" t="s">
        <v>61</v>
      </c>
      <c r="B57" s="70"/>
      <c r="C57" s="93"/>
      <c r="D57" s="93"/>
      <c r="E57" s="124">
        <f>E55/13</f>
        <v>1.4917669230769229E-3</v>
      </c>
      <c r="F57" s="74"/>
      <c r="G57" s="118" t="s">
        <v>79</v>
      </c>
      <c r="H57" s="72"/>
      <c r="I57" s="72">
        <f>I55/13</f>
        <v>3.8823047337278101E-4</v>
      </c>
      <c r="J57" s="74"/>
      <c r="K57" s="72"/>
      <c r="L57" s="72"/>
      <c r="M57" s="72">
        <f>M55/13</f>
        <v>4.3663213017751498E-4</v>
      </c>
      <c r="N57" s="74"/>
      <c r="O57" s="72"/>
      <c r="P57" s="72"/>
      <c r="Q57" s="72">
        <f>Q55/13</f>
        <v>1.0998133727810654E-3</v>
      </c>
      <c r="R57" s="74"/>
      <c r="S57" s="12"/>
      <c r="T57" s="12"/>
      <c r="U57" s="12">
        <f>U55/13</f>
        <v>1.4711476331360945E-3</v>
      </c>
      <c r="V57" s="74"/>
      <c r="W57" s="12"/>
      <c r="X57" s="12"/>
      <c r="Y57" s="125">
        <f>Y55/13</f>
        <v>6.1216372781065082E-4</v>
      </c>
      <c r="Z57" s="74"/>
      <c r="AA57" s="12"/>
      <c r="AB57" s="12"/>
      <c r="AC57" s="12">
        <f>AC55/13</f>
        <v>9.3237555302685493E-4</v>
      </c>
      <c r="AD57" s="74"/>
      <c r="AE57" s="72"/>
      <c r="AF57" s="72"/>
      <c r="AG57" s="72">
        <f>AG55/13</f>
        <v>1.2984464542558033E-3</v>
      </c>
      <c r="AH57" s="74"/>
      <c r="AI57" s="12"/>
      <c r="AJ57" s="121"/>
      <c r="AK57" s="12">
        <f>AK55/13</f>
        <v>9.7371130177514799E-4</v>
      </c>
      <c r="AL57" s="74"/>
      <c r="AM57" s="72"/>
      <c r="AN57" s="72"/>
      <c r="AO57" s="72">
        <f>AO55/13</f>
        <v>7.4510781065088752E-4</v>
      </c>
      <c r="AP57" s="74"/>
      <c r="AQ57" s="72"/>
      <c r="AR57" s="72"/>
      <c r="AS57" s="72">
        <f>AS55/13</f>
        <v>1.1084007100591717E-3</v>
      </c>
      <c r="AT57" s="74"/>
      <c r="AU57" s="12"/>
      <c r="AV57" s="12"/>
      <c r="AW57" s="12">
        <f>AW55/13</f>
        <v>7.2590142011834337E-4</v>
      </c>
      <c r="AX57" s="74"/>
      <c r="AY57" s="72"/>
      <c r="AZ57" s="72"/>
      <c r="BA57" s="72">
        <f>BA55/13</f>
        <v>9.905330769230771E-4</v>
      </c>
      <c r="BB57" s="74"/>
      <c r="BC57" s="72"/>
      <c r="BD57" s="72"/>
      <c r="BE57" s="72">
        <f>BE55/13</f>
        <v>1.2307992307692311E-3</v>
      </c>
      <c r="BF57" s="74"/>
      <c r="BG57" s="72"/>
      <c r="BH57" s="72"/>
      <c r="BI57" s="72">
        <f>BI55/13</f>
        <v>1.4938815384615384E-3</v>
      </c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</row>
    <row r="58" spans="1:72" s="6" customFormat="1" ht="13.2" x14ac:dyDescent="0.25">
      <c r="A58" s="126"/>
      <c r="B58" s="126"/>
      <c r="C58" s="74"/>
      <c r="D58" s="72"/>
      <c r="E58" s="72"/>
      <c r="F58" s="74"/>
      <c r="G58" s="72"/>
      <c r="H58" s="72"/>
      <c r="I58" s="72"/>
      <c r="J58" s="74"/>
      <c r="K58" s="72"/>
      <c r="L58" s="72"/>
      <c r="M58" s="72"/>
      <c r="N58" s="74"/>
      <c r="O58" s="72"/>
      <c r="P58" s="72"/>
      <c r="Q58" s="72"/>
      <c r="R58" s="74"/>
      <c r="S58" s="12"/>
      <c r="T58" s="12"/>
      <c r="U58" s="12"/>
      <c r="V58" s="74"/>
      <c r="W58" s="12"/>
      <c r="X58" s="12"/>
      <c r="Y58" s="12"/>
      <c r="Z58" s="74"/>
      <c r="AA58" s="12"/>
      <c r="AB58" s="12"/>
      <c r="AC58" s="12"/>
      <c r="AD58" s="74"/>
      <c r="AE58" s="72"/>
      <c r="AF58" s="72"/>
      <c r="AG58" s="72"/>
      <c r="AH58" s="74"/>
      <c r="AI58" s="12"/>
      <c r="AJ58" s="12"/>
      <c r="AK58" s="12"/>
      <c r="AL58" s="74"/>
      <c r="AM58" s="72"/>
      <c r="AN58" s="72"/>
      <c r="AO58" s="72"/>
      <c r="AP58" s="74"/>
      <c r="AQ58" s="72"/>
      <c r="AR58" s="72"/>
      <c r="AS58" s="72"/>
      <c r="AT58" s="74"/>
      <c r="AU58" s="12"/>
      <c r="AV58" s="12"/>
      <c r="AW58" s="12"/>
      <c r="AX58" s="74"/>
      <c r="AY58" s="72"/>
      <c r="AZ58" s="72"/>
      <c r="BA58" s="72"/>
      <c r="BB58" s="74"/>
      <c r="BC58" s="72"/>
      <c r="BD58" s="72"/>
      <c r="BE58" s="72"/>
      <c r="BF58" s="74"/>
      <c r="BG58" s="72"/>
      <c r="BH58" s="72"/>
      <c r="BI58" s="72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</row>
    <row r="59" spans="1:72" s="6" customFormat="1" ht="13.2" x14ac:dyDescent="0.25">
      <c r="A59" s="126"/>
      <c r="B59" s="126"/>
      <c r="C59" s="95"/>
      <c r="D59" s="96" t="s">
        <v>62</v>
      </c>
      <c r="E59" s="127">
        <f>E57/B56</f>
        <v>1.7907593014728755</v>
      </c>
      <c r="F59" s="74"/>
      <c r="G59" s="72"/>
      <c r="H59" s="118" t="s">
        <v>62</v>
      </c>
      <c r="I59" s="72">
        <f>I57/B56</f>
        <v>0.46604286537842465</v>
      </c>
      <c r="J59" s="74"/>
      <c r="K59" s="72"/>
      <c r="L59" s="118" t="s">
        <v>62</v>
      </c>
      <c r="M59" s="72">
        <f>M57/B56</f>
        <v>0.5241455862451655</v>
      </c>
      <c r="N59" s="74"/>
      <c r="O59" s="72"/>
      <c r="P59" s="118" t="s">
        <v>62</v>
      </c>
      <c r="Q59" s="72">
        <f>Q57/$B$56</f>
        <v>1.320247149018192</v>
      </c>
      <c r="R59" s="74"/>
      <c r="S59" s="12"/>
      <c r="T59" s="123"/>
      <c r="U59" s="12">
        <f>U57/B56</f>
        <v>1.7660073213343532</v>
      </c>
      <c r="V59" s="74"/>
      <c r="W59" s="12"/>
      <c r="X59" s="123"/>
      <c r="Y59" s="12">
        <f>Y57/B56</f>
        <v>0.73485869182575048</v>
      </c>
      <c r="Z59" s="74"/>
      <c r="AA59" s="12"/>
      <c r="AB59" s="123" t="s">
        <v>62</v>
      </c>
      <c r="AC59" s="12">
        <f>AC57/$B$56</f>
        <v>1.1192500438372173</v>
      </c>
      <c r="AD59" s="74"/>
      <c r="AE59" s="72"/>
      <c r="AF59" s="118" t="s">
        <v>62</v>
      </c>
      <c r="AG59" s="72">
        <f>AG57/$B$56</f>
        <v>1.5586919306583629</v>
      </c>
      <c r="AH59" s="74"/>
      <c r="AI59" s="12"/>
      <c r="AJ59" s="123" t="s">
        <v>62</v>
      </c>
      <c r="AK59" s="12">
        <f>AK57/B56</f>
        <v>1.168870648376211</v>
      </c>
      <c r="AL59" s="74"/>
      <c r="AM59" s="72"/>
      <c r="AN59" s="118" t="s">
        <v>62</v>
      </c>
      <c r="AO59" s="72">
        <f>AO57/$B$56</f>
        <v>0.89444853742367325</v>
      </c>
      <c r="AP59" s="74"/>
      <c r="AQ59" s="72"/>
      <c r="AR59" s="118" t="s">
        <v>62</v>
      </c>
      <c r="AS59" s="72">
        <f>AS57/$B$56</f>
        <v>1.3305556321114724</v>
      </c>
      <c r="AT59" s="74"/>
      <c r="AU59" s="123" t="s">
        <v>62</v>
      </c>
      <c r="AV59" s="123"/>
      <c r="AW59" s="12">
        <f>AW57/B56</f>
        <v>0.87139264178621478</v>
      </c>
      <c r="AX59" s="74"/>
      <c r="AY59" s="72"/>
      <c r="AZ59" s="118" t="s">
        <v>62</v>
      </c>
      <c r="BA59" s="72">
        <f>BA57/$B$56</f>
        <v>1.1890639841094541</v>
      </c>
      <c r="BB59" s="74"/>
      <c r="BC59" s="72"/>
      <c r="BD59" s="118" t="s">
        <v>62</v>
      </c>
      <c r="BE59" s="72">
        <f>BE57/$B$56</f>
        <v>1.4774862859940274</v>
      </c>
      <c r="BF59" s="74"/>
      <c r="BG59" s="72"/>
      <c r="BH59" s="118" t="s">
        <v>62</v>
      </c>
      <c r="BI59" s="72">
        <f>BI57/$B$56</f>
        <v>1.7932977457234205</v>
      </c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</row>
    <row r="60" spans="1:72" s="6" customFormat="1" ht="13.2" x14ac:dyDescent="0.25">
      <c r="A60" s="87"/>
      <c r="B60" s="126"/>
      <c r="C60" s="95"/>
      <c r="D60" s="128"/>
      <c r="E60" s="129"/>
      <c r="F60" s="74"/>
      <c r="G60" s="28"/>
      <c r="H60" s="26"/>
      <c r="I60" s="28"/>
      <c r="J60" s="74"/>
      <c r="K60" s="28"/>
      <c r="L60" s="26"/>
      <c r="M60" s="28"/>
      <c r="N60" s="74"/>
      <c r="O60" s="28"/>
      <c r="P60" s="26"/>
      <c r="Q60" s="28"/>
      <c r="R60" s="74"/>
      <c r="S60" s="28"/>
      <c r="T60" s="26"/>
      <c r="U60" s="28"/>
      <c r="V60" s="74"/>
      <c r="W60" s="28"/>
      <c r="X60" s="26"/>
      <c r="Y60" s="28"/>
      <c r="Z60" s="74"/>
      <c r="AA60" s="28"/>
      <c r="AB60" s="26"/>
      <c r="AC60" s="28"/>
      <c r="AD60" s="74"/>
      <c r="AE60" s="28"/>
      <c r="AF60" s="26"/>
      <c r="AG60" s="28"/>
      <c r="AH60" s="74"/>
      <c r="AI60" s="28"/>
      <c r="AJ60" s="26"/>
      <c r="AK60" s="28"/>
      <c r="AL60" s="74"/>
      <c r="AM60" s="28"/>
      <c r="AN60" s="26"/>
      <c r="AO60" s="28"/>
      <c r="AP60" s="74"/>
      <c r="AQ60" s="28"/>
      <c r="AR60" s="26"/>
      <c r="AS60" s="28"/>
      <c r="AT60" s="74"/>
      <c r="AU60" s="28"/>
      <c r="AV60" s="26"/>
      <c r="AW60" s="28"/>
      <c r="AX60" s="74"/>
      <c r="AY60" s="28"/>
      <c r="AZ60" s="26"/>
      <c r="BA60" s="28"/>
      <c r="BB60" s="74"/>
      <c r="BC60" s="28"/>
      <c r="BD60" s="26"/>
      <c r="BE60" s="28"/>
      <c r="BF60" s="74"/>
      <c r="BG60" s="28"/>
      <c r="BH60" s="26"/>
      <c r="BI60" s="28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</row>
    <row r="61" spans="1:72" s="6" customFormat="1" ht="13.2" x14ac:dyDescent="0.25">
      <c r="A61" s="87"/>
      <c r="B61" s="87"/>
      <c r="C61" s="128"/>
      <c r="D61" s="128"/>
      <c r="E61" s="129"/>
      <c r="F61" s="74"/>
      <c r="G61" s="28"/>
      <c r="H61" s="26"/>
      <c r="I61" s="28"/>
      <c r="J61" s="28"/>
      <c r="K61" s="28"/>
      <c r="L61" s="26"/>
      <c r="M61" s="28"/>
      <c r="N61" s="28"/>
      <c r="O61" s="28"/>
      <c r="P61" s="26"/>
      <c r="Q61" s="28"/>
      <c r="R61" s="74"/>
      <c r="S61" s="28"/>
      <c r="T61" s="26"/>
      <c r="U61" s="28"/>
      <c r="V61" s="28"/>
      <c r="W61" s="28"/>
      <c r="X61" s="26"/>
      <c r="Y61" s="28"/>
      <c r="Z61" s="74"/>
      <c r="AA61" s="28"/>
      <c r="AB61" s="26"/>
      <c r="AC61" s="28"/>
      <c r="AD61" s="74"/>
      <c r="AE61" s="28"/>
      <c r="AF61" s="26"/>
      <c r="AG61" s="28"/>
      <c r="AH61" s="74"/>
      <c r="AI61" s="28"/>
      <c r="AJ61" s="26"/>
      <c r="AK61" s="28"/>
      <c r="AL61" s="74"/>
      <c r="AM61" s="28"/>
      <c r="AN61" s="26"/>
      <c r="AO61" s="28"/>
      <c r="AP61" s="74"/>
      <c r="AQ61" s="28"/>
      <c r="AR61" s="26"/>
      <c r="AS61" s="28"/>
      <c r="AT61" s="74"/>
      <c r="AU61" s="28"/>
      <c r="AV61" s="26"/>
      <c r="AW61" s="28"/>
      <c r="AX61" s="74"/>
      <c r="AY61" s="28"/>
      <c r="AZ61" s="26"/>
      <c r="BA61" s="28"/>
      <c r="BB61" s="74"/>
      <c r="BC61" s="28"/>
      <c r="BD61" s="26"/>
      <c r="BE61" s="28"/>
      <c r="BF61" s="74"/>
      <c r="BG61" s="28"/>
      <c r="BH61" s="26"/>
      <c r="BI61" s="28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</row>
    <row r="62" spans="1:72" s="6" customFormat="1" ht="13.2" x14ac:dyDescent="0.25">
      <c r="A62" s="13" t="s">
        <v>76</v>
      </c>
      <c r="B62" s="13" t="s">
        <v>75</v>
      </c>
      <c r="C62" s="150" t="s">
        <v>77</v>
      </c>
      <c r="D62" s="150" t="s">
        <v>62</v>
      </c>
      <c r="E62" s="152" t="s">
        <v>80</v>
      </c>
      <c r="F62" s="150" t="s">
        <v>81</v>
      </c>
      <c r="G62" s="150" t="s">
        <v>97</v>
      </c>
      <c r="H62" s="11" t="s">
        <v>115</v>
      </c>
      <c r="I62" s="150" t="s">
        <v>101</v>
      </c>
      <c r="J62" s="150" t="s">
        <v>102</v>
      </c>
      <c r="K62" s="150" t="s">
        <v>103</v>
      </c>
      <c r="L62" s="153" t="s">
        <v>102</v>
      </c>
      <c r="M62" s="153" t="s">
        <v>23</v>
      </c>
      <c r="N62" s="150" t="s">
        <v>104</v>
      </c>
      <c r="O62" s="28"/>
      <c r="P62" s="26"/>
      <c r="Q62" s="28"/>
      <c r="R62" s="74"/>
      <c r="S62" s="28"/>
      <c r="T62" s="26"/>
      <c r="U62" s="28"/>
      <c r="V62" s="28"/>
      <c r="W62" s="28"/>
      <c r="X62" s="26"/>
      <c r="Y62" s="28"/>
      <c r="Z62" s="74"/>
      <c r="AA62" s="28"/>
      <c r="AB62" s="26"/>
      <c r="AC62" s="28"/>
      <c r="AD62" s="74"/>
      <c r="AE62" s="28"/>
      <c r="AF62" s="26"/>
      <c r="AG62" s="28"/>
      <c r="AH62" s="74"/>
      <c r="AI62" s="28"/>
      <c r="AJ62" s="26"/>
      <c r="AK62" s="28"/>
      <c r="AL62" s="74"/>
      <c r="AM62" s="28"/>
      <c r="AN62" s="26"/>
      <c r="AO62" s="28"/>
      <c r="AP62" s="74"/>
      <c r="AQ62" s="28"/>
      <c r="AR62" s="26"/>
      <c r="AS62" s="28"/>
      <c r="AT62" s="74"/>
      <c r="AU62" s="28"/>
      <c r="AV62" s="26"/>
      <c r="AW62" s="28"/>
      <c r="AX62" s="74"/>
      <c r="AY62" s="28"/>
      <c r="AZ62" s="26"/>
      <c r="BA62" s="28"/>
      <c r="BB62" s="74"/>
      <c r="BC62" s="28"/>
      <c r="BD62" s="26"/>
      <c r="BE62" s="28"/>
      <c r="BF62" s="74"/>
      <c r="BG62" s="28"/>
      <c r="BH62" s="26"/>
      <c r="BI62" s="28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</row>
    <row r="63" spans="1:72" s="6" customFormat="1" ht="13.2" x14ac:dyDescent="0.25">
      <c r="A63" s="70" t="s">
        <v>82</v>
      </c>
      <c r="B63" s="70">
        <f>D56</f>
        <v>8.5107199999999994E-3</v>
      </c>
      <c r="C63" s="130">
        <f>E57</f>
        <v>1.4917669230769229E-3</v>
      </c>
      <c r="D63" s="131">
        <f>E59</f>
        <v>1.7907593014728755</v>
      </c>
      <c r="E63" s="78">
        <f>6.521%/13</f>
        <v>5.0161538461538464E-3</v>
      </c>
      <c r="F63" s="81">
        <f>C17-E63</f>
        <v>5.8838461538461449E-3</v>
      </c>
      <c r="G63" s="132">
        <f t="shared" ref="G63:G68" si="39">F63/D63</f>
        <v>3.2856711390563545E-3</v>
      </c>
      <c r="H63" s="133">
        <v>13</v>
      </c>
      <c r="I63" s="72">
        <f>F63*D63/F82</f>
        <v>1.8044128590624346</v>
      </c>
      <c r="J63" s="72">
        <f>I63</f>
        <v>1.8044128590624346</v>
      </c>
      <c r="K63" s="134">
        <f>C82/B63</f>
        <v>376.79760065090113</v>
      </c>
      <c r="L63" s="135">
        <f>K63</f>
        <v>376.79760065090113</v>
      </c>
      <c r="M63" s="9">
        <f>($B$56*J63)/(1+($B$56*L63))</f>
        <v>1.144042083400233E-3</v>
      </c>
      <c r="N63" s="72" t="b">
        <f>IF(G63&gt;$M$75,TRUE)</f>
        <v>0</v>
      </c>
      <c r="O63" s="28"/>
      <c r="P63" s="26"/>
      <c r="Q63" s="28"/>
      <c r="R63" s="74"/>
      <c r="S63" s="28"/>
      <c r="T63" s="26"/>
      <c r="U63" s="28"/>
      <c r="V63" s="28"/>
      <c r="W63" s="28"/>
      <c r="X63" s="26"/>
      <c r="Y63" s="28"/>
      <c r="Z63" s="74"/>
      <c r="AA63" s="28"/>
      <c r="AB63" s="26"/>
      <c r="AC63" s="28"/>
      <c r="AD63" s="28"/>
      <c r="AE63" s="28"/>
      <c r="AF63" s="26"/>
      <c r="AG63" s="28"/>
      <c r="AH63" s="74"/>
      <c r="AI63" s="28"/>
      <c r="AJ63" s="26"/>
      <c r="AK63" s="28"/>
      <c r="AL63" s="28"/>
      <c r="AM63" s="28"/>
      <c r="AN63" s="26"/>
      <c r="AO63" s="28"/>
      <c r="AP63" s="74"/>
      <c r="AQ63" s="28"/>
      <c r="AR63" s="26"/>
      <c r="AS63" s="28"/>
      <c r="AT63" s="74"/>
      <c r="AU63" s="28"/>
      <c r="AV63" s="26"/>
      <c r="AW63" s="28"/>
      <c r="AX63" s="74"/>
      <c r="AY63" s="28"/>
      <c r="AZ63" s="26"/>
      <c r="BA63" s="28"/>
      <c r="BB63" s="74"/>
      <c r="BC63" s="28"/>
      <c r="BD63" s="26"/>
      <c r="BE63" s="28"/>
      <c r="BF63" s="28"/>
      <c r="BG63" s="28"/>
      <c r="BH63" s="26"/>
      <c r="BI63" s="28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</row>
    <row r="64" spans="1:72" s="6" customFormat="1" ht="13.2" x14ac:dyDescent="0.25">
      <c r="A64" s="70" t="s">
        <v>83</v>
      </c>
      <c r="B64" s="70">
        <f>H56</f>
        <v>7.415759763313612E-4</v>
      </c>
      <c r="C64" s="96">
        <f>I57</f>
        <v>3.8823047337278101E-4</v>
      </c>
      <c r="D64" s="131">
        <f>I59</f>
        <v>0.46604286537842465</v>
      </c>
      <c r="E64" s="78">
        <f t="shared" ref="E64:E77" si="40">6.521%/13</f>
        <v>5.0161538461538464E-3</v>
      </c>
      <c r="F64" s="81">
        <f>G17-E64</f>
        <v>1.3114615384615384E-2</v>
      </c>
      <c r="G64" s="132">
        <f t="shared" si="39"/>
        <v>2.814036295559718E-2</v>
      </c>
      <c r="H64" s="133">
        <v>3</v>
      </c>
      <c r="I64" s="72">
        <f t="shared" ref="I64:I77" si="41">F64*D64/F83</f>
        <v>10.901701704959404</v>
      </c>
      <c r="J64" s="72">
        <f>SUM(I64+J63)</f>
        <v>12.706114564021838</v>
      </c>
      <c r="K64" s="134">
        <f t="shared" ref="K64:K77" si="42">C83/B64</f>
        <v>292.884288734135</v>
      </c>
      <c r="L64" s="135">
        <f>SUM(K64+L63)</f>
        <v>669.68188938503613</v>
      </c>
      <c r="M64" s="9">
        <f t="shared" ref="M64:M76" si="43">($B$56*J64)/(1+($B$56*L64))</f>
        <v>6.7943131465149015E-3</v>
      </c>
      <c r="N64" s="136" t="b">
        <f t="shared" ref="N64:N77" si="44">IF(G64&gt;$M$75,TRUE)</f>
        <v>1</v>
      </c>
      <c r="O64" s="28"/>
      <c r="P64" s="26"/>
      <c r="Q64" s="28"/>
      <c r="R64" s="74"/>
      <c r="S64" s="28"/>
      <c r="T64" s="26"/>
      <c r="U64" s="28"/>
      <c r="V64" s="28"/>
      <c r="W64" s="28"/>
      <c r="X64" s="26"/>
      <c r="Y64" s="28"/>
      <c r="Z64" s="74"/>
      <c r="AA64" s="28"/>
      <c r="AB64" s="26"/>
      <c r="AC64" s="28"/>
      <c r="AD64" s="28"/>
      <c r="AE64" s="28"/>
      <c r="AF64" s="26"/>
      <c r="AG64" s="28"/>
      <c r="AH64" s="28"/>
      <c r="AI64" s="28"/>
      <c r="AJ64" s="26"/>
      <c r="AK64" s="28"/>
      <c r="AL64" s="28"/>
      <c r="AM64" s="28"/>
      <c r="AN64" s="26"/>
      <c r="AO64" s="28"/>
      <c r="AP64" s="74"/>
      <c r="AQ64" s="28"/>
      <c r="AR64" s="26"/>
      <c r="AS64" s="28"/>
      <c r="AT64" s="74"/>
      <c r="AU64" s="28"/>
      <c r="AV64" s="26"/>
      <c r="AW64" s="28"/>
      <c r="AX64" s="28"/>
      <c r="AY64" s="28"/>
      <c r="AZ64" s="26"/>
      <c r="BA64" s="28"/>
      <c r="BB64" s="74"/>
      <c r="BC64" s="28"/>
      <c r="BD64" s="26"/>
      <c r="BE64" s="28"/>
      <c r="BF64" s="28"/>
      <c r="BG64" s="28"/>
      <c r="BH64" s="26"/>
      <c r="BI64" s="28"/>
      <c r="BJ64" s="26"/>
      <c r="BK64" s="26"/>
      <c r="BL64" s="26"/>
      <c r="BM64" s="26"/>
      <c r="BN64" s="26"/>
      <c r="BO64" s="26"/>
      <c r="BP64" s="26"/>
      <c r="BQ64" s="26"/>
      <c r="BR64" s="26"/>
      <c r="BS64" s="26"/>
      <c r="BT64" s="26"/>
    </row>
    <row r="65" spans="1:72" s="6" customFormat="1" ht="13.2" x14ac:dyDescent="0.25">
      <c r="A65" s="70" t="s">
        <v>84</v>
      </c>
      <c r="B65" s="70">
        <v>9.4733617799999999E-3</v>
      </c>
      <c r="C65" s="96">
        <f>M57</f>
        <v>4.3663213017751498E-4</v>
      </c>
      <c r="D65" s="131">
        <f>M59</f>
        <v>0.5241455862451655</v>
      </c>
      <c r="E65" s="78">
        <f>6.521%/13</f>
        <v>5.0161538461538464E-3</v>
      </c>
      <c r="F65" s="81">
        <f>K17-E65</f>
        <v>1.9153076923076925E-2</v>
      </c>
      <c r="G65" s="132">
        <f t="shared" si="39"/>
        <v>3.654152095467271E-2</v>
      </c>
      <c r="H65" s="133">
        <v>1</v>
      </c>
      <c r="I65" s="72">
        <f t="shared" si="41"/>
        <v>1.0859427227336733</v>
      </c>
      <c r="J65" s="72">
        <f>SUM(I65+J64)</f>
        <v>13.792057286755512</v>
      </c>
      <c r="K65" s="134">
        <f t="shared" si="42"/>
        <v>29.000116533107661</v>
      </c>
      <c r="L65" s="135">
        <f t="shared" ref="L65:L76" si="45">SUM(K65+L64)</f>
        <v>698.68200591814377</v>
      </c>
      <c r="M65" s="9">
        <f t="shared" si="43"/>
        <v>7.2623780214125496E-3</v>
      </c>
      <c r="N65" s="136" t="b">
        <f t="shared" si="44"/>
        <v>1</v>
      </c>
      <c r="O65" s="28"/>
      <c r="P65" s="26"/>
      <c r="Q65" s="28"/>
      <c r="R65" s="74"/>
      <c r="S65" s="28"/>
      <c r="T65" s="26"/>
      <c r="U65" s="28"/>
      <c r="V65" s="28"/>
      <c r="W65" s="28"/>
      <c r="X65" s="26"/>
      <c r="Y65" s="28"/>
      <c r="Z65" s="74"/>
      <c r="AA65" s="28"/>
      <c r="AB65" s="26"/>
      <c r="AC65" s="28"/>
      <c r="AD65" s="28"/>
      <c r="AE65" s="28"/>
      <c r="AF65" s="26"/>
      <c r="AG65" s="28"/>
      <c r="AH65" s="28"/>
      <c r="AI65" s="28"/>
      <c r="AJ65" s="26"/>
      <c r="AK65" s="28"/>
      <c r="AL65" s="28"/>
      <c r="AM65" s="28"/>
      <c r="AN65" s="26"/>
      <c r="AO65" s="28"/>
      <c r="AP65" s="74"/>
      <c r="AQ65" s="28"/>
      <c r="AR65" s="26"/>
      <c r="AS65" s="28"/>
      <c r="AT65" s="74"/>
      <c r="AU65" s="28"/>
      <c r="AV65" s="26"/>
      <c r="AW65" s="28"/>
      <c r="AX65" s="28"/>
      <c r="AY65" s="28"/>
      <c r="AZ65" s="26"/>
      <c r="BA65" s="28"/>
      <c r="BB65" s="74"/>
      <c r="BC65" s="28"/>
      <c r="BD65" s="26"/>
      <c r="BE65" s="28"/>
      <c r="BF65" s="28"/>
      <c r="BG65" s="28"/>
      <c r="BH65" s="26"/>
      <c r="BI65" s="28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</row>
    <row r="66" spans="1:72" s="6" customFormat="1" ht="13.2" x14ac:dyDescent="0.25">
      <c r="A66" s="70" t="s">
        <v>85</v>
      </c>
      <c r="B66" s="70">
        <v>6.5293120710059179E-3</v>
      </c>
      <c r="C66" s="96">
        <f>Q57</f>
        <v>1.0998133727810654E-3</v>
      </c>
      <c r="D66" s="131">
        <f>Q59</f>
        <v>1.320247149018192</v>
      </c>
      <c r="E66" s="78">
        <f t="shared" si="40"/>
        <v>5.0161538461538464E-3</v>
      </c>
      <c r="F66" s="81">
        <f>O17-E66</f>
        <v>1.2068461538461535E-2</v>
      </c>
      <c r="G66" s="132">
        <f>F66/D66</f>
        <v>9.1410623741443441E-3</v>
      </c>
      <c r="H66" s="133">
        <v>7</v>
      </c>
      <c r="I66" s="72">
        <f t="shared" si="41"/>
        <v>3.1381628005031632</v>
      </c>
      <c r="J66" s="72">
        <f t="shared" ref="J66:J76" si="46">SUM(I66+J65)</f>
        <v>16.930220087258675</v>
      </c>
      <c r="K66" s="134">
        <f t="shared" si="42"/>
        <v>266.9580677926038</v>
      </c>
      <c r="L66" s="135">
        <f t="shared" si="45"/>
        <v>965.64007371074763</v>
      </c>
      <c r="M66" s="9">
        <f t="shared" si="43"/>
        <v>7.8161058653248138E-3</v>
      </c>
      <c r="N66" s="72" t="b">
        <f t="shared" si="44"/>
        <v>0</v>
      </c>
      <c r="O66" s="28"/>
      <c r="P66" s="26"/>
      <c r="Q66" s="28"/>
      <c r="R66" s="28"/>
      <c r="S66" s="28"/>
      <c r="T66" s="26"/>
      <c r="U66" s="28"/>
      <c r="V66" s="28"/>
      <c r="W66" s="28"/>
      <c r="X66" s="26"/>
      <c r="Y66" s="28"/>
      <c r="Z66" s="74"/>
      <c r="AA66" s="28"/>
      <c r="AB66" s="26"/>
      <c r="AC66" s="28"/>
      <c r="AD66" s="28"/>
      <c r="AE66" s="28"/>
      <c r="AF66" s="26"/>
      <c r="AG66" s="28"/>
      <c r="AH66" s="28"/>
      <c r="AI66" s="28"/>
      <c r="AJ66" s="26"/>
      <c r="AK66" s="28"/>
      <c r="AL66" s="28"/>
      <c r="AM66" s="28"/>
      <c r="AN66" s="26"/>
      <c r="AO66" s="28"/>
      <c r="AP66" s="28"/>
      <c r="AQ66" s="28"/>
      <c r="AR66" s="26"/>
      <c r="AS66" s="28"/>
      <c r="AT66" s="28"/>
      <c r="AU66" s="28"/>
      <c r="AV66" s="26"/>
      <c r="AW66" s="28"/>
      <c r="AX66" s="28"/>
      <c r="AY66" s="28"/>
      <c r="AZ66" s="26"/>
      <c r="BA66" s="28"/>
      <c r="BB66" s="28"/>
      <c r="BC66" s="28"/>
      <c r="BD66" s="26"/>
      <c r="BE66" s="28"/>
      <c r="BF66" s="28"/>
      <c r="BG66" s="28"/>
      <c r="BH66" s="26"/>
      <c r="BI66" s="28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</row>
    <row r="67" spans="1:72" s="6" customFormat="1" ht="13.2" x14ac:dyDescent="0.25">
      <c r="A67" s="70" t="s">
        <v>86</v>
      </c>
      <c r="B67" s="70">
        <v>9.4512669230769238E-3</v>
      </c>
      <c r="C67" s="96">
        <f>U57</f>
        <v>1.4711476331360945E-3</v>
      </c>
      <c r="D67" s="131">
        <f>U59</f>
        <v>1.7660073213343532</v>
      </c>
      <c r="E67" s="78">
        <f t="shared" si="40"/>
        <v>5.0161538461538464E-3</v>
      </c>
      <c r="F67" s="81">
        <f>S17-E67</f>
        <v>1.2206923076923074E-2</v>
      </c>
      <c r="G67" s="132">
        <f t="shared" si="39"/>
        <v>6.912158816929373E-3</v>
      </c>
      <c r="H67" s="133">
        <v>10</v>
      </c>
      <c r="I67" s="72">
        <f t="shared" si="41"/>
        <v>3.1456087455227819</v>
      </c>
      <c r="J67" s="72">
        <f t="shared" si="46"/>
        <v>20.075828832781458</v>
      </c>
      <c r="K67" s="134">
        <f t="shared" si="42"/>
        <v>329.98558652401249</v>
      </c>
      <c r="L67" s="135">
        <f t="shared" si="45"/>
        <v>1295.6256602347601</v>
      </c>
      <c r="M67" s="9">
        <f t="shared" si="43"/>
        <v>8.0430266232868405E-3</v>
      </c>
      <c r="N67" s="72" t="b">
        <f t="shared" si="44"/>
        <v>0</v>
      </c>
      <c r="O67" s="28"/>
      <c r="P67" s="26"/>
      <c r="Q67" s="28"/>
      <c r="R67" s="28"/>
      <c r="S67" s="28"/>
      <c r="T67" s="26"/>
      <c r="U67" s="28"/>
      <c r="V67" s="28"/>
      <c r="W67" s="28"/>
      <c r="X67" s="26"/>
      <c r="Y67" s="28"/>
      <c r="Z67" s="74"/>
      <c r="AA67" s="28"/>
      <c r="AB67" s="26"/>
      <c r="AC67" s="28"/>
      <c r="AD67" s="28"/>
      <c r="AE67" s="28"/>
      <c r="AF67" s="26"/>
      <c r="AG67" s="28"/>
      <c r="AH67" s="28"/>
      <c r="AI67" s="28"/>
      <c r="AJ67" s="26"/>
      <c r="AK67" s="28"/>
      <c r="AL67" s="28"/>
      <c r="AM67" s="28"/>
      <c r="AN67" s="26"/>
      <c r="AO67" s="28"/>
      <c r="AP67" s="28"/>
      <c r="AQ67" s="28"/>
      <c r="AR67" s="26"/>
      <c r="AS67" s="28"/>
      <c r="AT67" s="28"/>
      <c r="AU67" s="28"/>
      <c r="AV67" s="26"/>
      <c r="AW67" s="28"/>
      <c r="AX67" s="28"/>
      <c r="AY67" s="28"/>
      <c r="AZ67" s="26"/>
      <c r="BA67" s="28"/>
      <c r="BB67" s="28"/>
      <c r="BC67" s="28"/>
      <c r="BD67" s="26"/>
      <c r="BE67" s="28"/>
      <c r="BF67" s="28"/>
      <c r="BG67" s="28"/>
      <c r="BH67" s="26"/>
      <c r="BI67" s="28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</row>
    <row r="68" spans="1:72" s="6" customFormat="1" ht="13.2" x14ac:dyDescent="0.25">
      <c r="A68" s="70" t="s">
        <v>87</v>
      </c>
      <c r="B68" s="70">
        <v>8.9065261538461542E-3</v>
      </c>
      <c r="C68" s="137">
        <f>Y57</f>
        <v>6.1216372781065082E-4</v>
      </c>
      <c r="D68" s="131">
        <f>Y59</f>
        <v>0.73485869182575048</v>
      </c>
      <c r="E68" s="78">
        <f t="shared" si="40"/>
        <v>5.0161538461538464E-3</v>
      </c>
      <c r="F68" s="81">
        <f>W17-E68</f>
        <v>5.1300000000000052E-3</v>
      </c>
      <c r="G68" s="132">
        <f t="shared" si="39"/>
        <v>6.9809339633100913E-3</v>
      </c>
      <c r="H68" s="133">
        <v>9</v>
      </c>
      <c r="I68" s="72">
        <f t="shared" si="41"/>
        <v>0.44578114741429931</v>
      </c>
      <c r="J68" s="72">
        <f>SUM(I68+J67)</f>
        <v>20.521609980195755</v>
      </c>
      <c r="K68" s="134">
        <f t="shared" si="42"/>
        <v>60.631641071267126</v>
      </c>
      <c r="L68" s="135">
        <f t="shared" si="45"/>
        <v>1356.2573013060271</v>
      </c>
      <c r="M68" s="9">
        <f t="shared" si="43"/>
        <v>8.0266457451900804E-3</v>
      </c>
      <c r="N68" s="72" t="b">
        <f t="shared" si="44"/>
        <v>0</v>
      </c>
      <c r="O68" s="28"/>
      <c r="P68" s="26"/>
      <c r="Q68" s="28"/>
      <c r="R68" s="28"/>
      <c r="S68" s="28"/>
      <c r="T68" s="26"/>
      <c r="U68" s="28"/>
      <c r="V68" s="28"/>
      <c r="W68" s="28"/>
      <c r="X68" s="26"/>
      <c r="Y68" s="28"/>
      <c r="Z68" s="74"/>
      <c r="AA68" s="28"/>
      <c r="AB68" s="26"/>
      <c r="AC68" s="28"/>
      <c r="AD68" s="28"/>
      <c r="AE68" s="28"/>
      <c r="AF68" s="26"/>
      <c r="AG68" s="28"/>
      <c r="AH68" s="28"/>
      <c r="AI68" s="28"/>
      <c r="AJ68" s="26"/>
      <c r="AK68" s="28"/>
      <c r="AL68" s="28"/>
      <c r="AM68" s="28"/>
      <c r="AN68" s="26"/>
      <c r="AO68" s="28"/>
      <c r="AP68" s="28"/>
      <c r="AQ68" s="28"/>
      <c r="AR68" s="26"/>
      <c r="AS68" s="28"/>
      <c r="AT68" s="28"/>
      <c r="AU68" s="28"/>
      <c r="AV68" s="26"/>
      <c r="AW68" s="28"/>
      <c r="AX68" s="28"/>
      <c r="AY68" s="28"/>
      <c r="AZ68" s="26"/>
      <c r="BA68" s="28"/>
      <c r="BB68" s="28"/>
      <c r="BC68" s="28"/>
      <c r="BD68" s="26"/>
      <c r="BE68" s="28"/>
      <c r="BF68" s="28"/>
      <c r="BG68" s="28"/>
      <c r="BH68" s="26"/>
      <c r="BI68" s="28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</row>
    <row r="69" spans="1:72" ht="13.2" x14ac:dyDescent="0.25">
      <c r="A69" s="70" t="s">
        <v>88</v>
      </c>
      <c r="B69" s="70">
        <v>2.4522730905780612E-3</v>
      </c>
      <c r="C69" s="96">
        <f>AC57</f>
        <v>9.3237555302685493E-4</v>
      </c>
      <c r="D69" s="131">
        <f>AC59</f>
        <v>1.1192500438372173</v>
      </c>
      <c r="E69" s="78">
        <f t="shared" si="40"/>
        <v>5.0161538461538464E-3</v>
      </c>
      <c r="F69" s="81">
        <f>AA17-E69</f>
        <v>1.729999999999998E-3</v>
      </c>
      <c r="G69" s="132">
        <f t="shared" ref="G69:G77" si="47">F69/D69</f>
        <v>1.5456778487753248E-3</v>
      </c>
      <c r="H69" s="133">
        <v>14</v>
      </c>
      <c r="I69" s="72">
        <f t="shared" si="41"/>
        <v>1.3745201089560251</v>
      </c>
      <c r="J69" s="72">
        <f t="shared" si="46"/>
        <v>21.896130089151782</v>
      </c>
      <c r="K69" s="134">
        <f t="shared" si="42"/>
        <v>510.84060149855321</v>
      </c>
      <c r="L69" s="135">
        <f t="shared" si="45"/>
        <v>1867.0979028045804</v>
      </c>
      <c r="M69" s="9">
        <f t="shared" si="43"/>
        <v>7.1380416356835201E-3</v>
      </c>
      <c r="N69" s="72" t="b">
        <f t="shared" si="44"/>
        <v>0</v>
      </c>
      <c r="O69" s="28"/>
      <c r="P69" s="138"/>
      <c r="Q69" s="74"/>
      <c r="R69" s="74"/>
      <c r="S69" s="74"/>
      <c r="T69" s="138"/>
      <c r="U69" s="74"/>
      <c r="V69" s="74"/>
      <c r="W69" s="74"/>
      <c r="X69" s="138"/>
      <c r="Y69" s="74"/>
      <c r="Z69" s="74"/>
      <c r="AA69" s="74"/>
      <c r="AB69" s="138"/>
      <c r="AC69" s="74"/>
      <c r="AD69" s="74"/>
      <c r="AE69" s="74"/>
      <c r="AF69" s="138"/>
      <c r="AG69" s="74"/>
      <c r="AH69" s="74"/>
      <c r="AI69" s="74"/>
      <c r="AJ69" s="138"/>
      <c r="AK69" s="74"/>
      <c r="AL69" s="74"/>
      <c r="AM69" s="74"/>
      <c r="AN69" s="138"/>
      <c r="AO69" s="74"/>
      <c r="AP69" s="74"/>
      <c r="AQ69" s="74"/>
      <c r="AR69" s="138"/>
      <c r="AS69" s="74"/>
      <c r="AT69" s="74"/>
      <c r="AU69" s="74"/>
      <c r="AV69" s="138"/>
      <c r="AW69" s="74"/>
      <c r="AX69" s="74"/>
      <c r="AY69" s="74"/>
      <c r="AZ69" s="138"/>
      <c r="BA69" s="74"/>
      <c r="BB69" s="74"/>
      <c r="BC69" s="74"/>
      <c r="BD69" s="138"/>
      <c r="BE69" s="74"/>
      <c r="BF69" s="74"/>
      <c r="BG69" s="74"/>
      <c r="BH69" s="138"/>
      <c r="BI69" s="74"/>
      <c r="BJ69" s="138"/>
      <c r="BK69" s="138"/>
      <c r="BL69" s="138"/>
      <c r="BM69" s="138"/>
      <c r="BN69" s="138"/>
      <c r="BO69" s="138"/>
      <c r="BP69" s="138"/>
      <c r="BQ69" s="138"/>
      <c r="BR69" s="138"/>
      <c r="BS69" s="138"/>
      <c r="BT69" s="138"/>
    </row>
    <row r="70" spans="1:72" ht="13.2" x14ac:dyDescent="0.25">
      <c r="A70" s="70" t="s">
        <v>89</v>
      </c>
      <c r="B70" s="70">
        <v>3.746161734182977E-3</v>
      </c>
      <c r="C70" s="96">
        <f>AG57</f>
        <v>1.2984464542558033E-3</v>
      </c>
      <c r="D70" s="131">
        <f>AG59</f>
        <v>1.5586919306583629</v>
      </c>
      <c r="E70" s="78">
        <f t="shared" si="40"/>
        <v>5.0161538461538464E-3</v>
      </c>
      <c r="F70" s="81">
        <f>AE17-E70</f>
        <v>1.1860769230769223E-2</v>
      </c>
      <c r="G70" s="132">
        <f>F70/D70</f>
        <v>7.6094377583384625E-3</v>
      </c>
      <c r="H70" s="133">
        <v>8</v>
      </c>
      <c r="I70" s="72">
        <f t="shared" si="41"/>
        <v>10.734169427889187</v>
      </c>
      <c r="J70" s="72">
        <f>SUM(I70+J69)</f>
        <v>32.630299517040967</v>
      </c>
      <c r="K70" s="134">
        <f t="shared" si="42"/>
        <v>648.53594347798855</v>
      </c>
      <c r="L70" s="135">
        <f t="shared" si="45"/>
        <v>2515.6338462825688</v>
      </c>
      <c r="M70" s="9">
        <f t="shared" si="43"/>
        <v>8.7808808950096962E-3</v>
      </c>
      <c r="N70" s="72" t="b">
        <f t="shared" si="44"/>
        <v>0</v>
      </c>
      <c r="O70" s="28"/>
      <c r="P70" s="138"/>
      <c r="Q70" s="74"/>
      <c r="R70" s="74"/>
      <c r="S70" s="74"/>
      <c r="T70" s="138"/>
      <c r="U70" s="74"/>
      <c r="V70" s="74"/>
      <c r="W70" s="74"/>
      <c r="X70" s="138"/>
      <c r="Y70" s="74"/>
      <c r="Z70" s="74"/>
      <c r="AA70" s="74"/>
      <c r="AB70" s="138"/>
      <c r="AC70" s="74"/>
      <c r="AD70" s="74"/>
      <c r="AE70" s="74"/>
      <c r="AF70" s="138"/>
      <c r="AG70" s="74"/>
      <c r="AH70" s="74"/>
      <c r="AI70" s="74"/>
      <c r="AJ70" s="138"/>
      <c r="AK70" s="74"/>
      <c r="AL70" s="74"/>
      <c r="AM70" s="74"/>
      <c r="AN70" s="138"/>
      <c r="AO70" s="74"/>
      <c r="AP70" s="74"/>
      <c r="AQ70" s="74"/>
      <c r="AR70" s="138"/>
      <c r="AS70" s="74"/>
      <c r="AT70" s="74"/>
      <c r="AU70" s="74"/>
      <c r="AV70" s="138"/>
      <c r="AW70" s="74"/>
      <c r="AX70" s="74"/>
      <c r="AY70" s="74"/>
      <c r="AZ70" s="138"/>
      <c r="BA70" s="74"/>
      <c r="BB70" s="74"/>
      <c r="BC70" s="74"/>
      <c r="BD70" s="138"/>
      <c r="BE70" s="74"/>
      <c r="BF70" s="74"/>
      <c r="BG70" s="74"/>
      <c r="BH70" s="138"/>
      <c r="BI70" s="74"/>
      <c r="BJ70" s="138"/>
      <c r="BK70" s="138"/>
      <c r="BL70" s="138"/>
      <c r="BM70" s="138"/>
      <c r="BN70" s="138"/>
      <c r="BO70" s="138"/>
      <c r="BP70" s="138"/>
      <c r="BQ70" s="138"/>
      <c r="BR70" s="138"/>
      <c r="BS70" s="138"/>
      <c r="BT70" s="138"/>
    </row>
    <row r="71" spans="1:72" ht="13.2" x14ac:dyDescent="0.25">
      <c r="A71" s="70" t="s">
        <v>90</v>
      </c>
      <c r="B71" s="139">
        <f>AJ56</f>
        <v>5.1566299408284015E-3</v>
      </c>
      <c r="C71" s="96">
        <f>AK57</f>
        <v>9.7371130177514799E-4</v>
      </c>
      <c r="D71" s="131">
        <f>AK59</f>
        <v>1.168870648376211</v>
      </c>
      <c r="E71" s="78">
        <f t="shared" si="40"/>
        <v>5.0161538461538464E-3</v>
      </c>
      <c r="F71" s="81">
        <f>AI17-E71</f>
        <v>5.3299999999999988E-3</v>
      </c>
      <c r="G71" s="132">
        <f t="shared" si="47"/>
        <v>4.5599570896954315E-3</v>
      </c>
      <c r="H71" s="133">
        <v>12</v>
      </c>
      <c r="I71" s="72">
        <f t="shared" si="41"/>
        <v>1.5503546400458557</v>
      </c>
      <c r="J71" s="72">
        <f t="shared" si="46"/>
        <v>34.180654157086821</v>
      </c>
      <c r="K71" s="134">
        <f t="shared" si="42"/>
        <v>264.9518403129656</v>
      </c>
      <c r="L71" s="135">
        <f t="shared" si="45"/>
        <v>2780.5856865955343</v>
      </c>
      <c r="M71" s="9">
        <f t="shared" si="43"/>
        <v>8.5859165200741147E-3</v>
      </c>
      <c r="N71" s="72" t="b">
        <f t="shared" si="44"/>
        <v>0</v>
      </c>
      <c r="O71" s="28"/>
      <c r="P71" s="138"/>
      <c r="Q71" s="74"/>
      <c r="R71" s="74"/>
      <c r="S71" s="74"/>
      <c r="T71" s="138"/>
      <c r="U71" s="74"/>
      <c r="V71" s="74"/>
      <c r="W71" s="74"/>
      <c r="X71" s="138"/>
      <c r="Y71" s="74"/>
      <c r="Z71" s="74"/>
      <c r="AA71" s="74"/>
      <c r="AB71" s="138"/>
      <c r="AC71" s="74"/>
      <c r="AD71" s="74"/>
      <c r="AE71" s="74"/>
      <c r="AF71" s="138"/>
      <c r="AG71" s="74"/>
      <c r="AH71" s="74"/>
      <c r="AI71" s="74"/>
      <c r="AJ71" s="138"/>
      <c r="AK71" s="74"/>
      <c r="AL71" s="74"/>
      <c r="AM71" s="74"/>
      <c r="AN71" s="138"/>
      <c r="AO71" s="74"/>
      <c r="AP71" s="74"/>
      <c r="AQ71" s="74"/>
      <c r="AR71" s="138"/>
      <c r="AS71" s="74"/>
      <c r="AT71" s="74"/>
      <c r="AU71" s="74"/>
      <c r="AV71" s="138"/>
      <c r="AW71" s="74"/>
      <c r="AX71" s="74"/>
      <c r="AY71" s="74"/>
      <c r="AZ71" s="138"/>
      <c r="BA71" s="74"/>
      <c r="BB71" s="74"/>
      <c r="BC71" s="74"/>
      <c r="BD71" s="138"/>
      <c r="BE71" s="74"/>
      <c r="BF71" s="74"/>
      <c r="BG71" s="74"/>
      <c r="BH71" s="138"/>
      <c r="BI71" s="74"/>
      <c r="BJ71" s="138"/>
      <c r="BK71" s="138"/>
      <c r="BL71" s="138"/>
      <c r="BM71" s="138"/>
      <c r="BN71" s="138"/>
      <c r="BO71" s="138"/>
      <c r="BP71" s="138"/>
      <c r="BQ71" s="138"/>
      <c r="BR71" s="138"/>
      <c r="BS71" s="138"/>
      <c r="BT71" s="138"/>
    </row>
    <row r="72" spans="1:72" ht="13.2" x14ac:dyDescent="0.25">
      <c r="A72" s="70" t="s">
        <v>96</v>
      </c>
      <c r="B72" s="70">
        <f>AN56</f>
        <v>2.7862024852071004E-3</v>
      </c>
      <c r="C72" s="96">
        <f>AO57</f>
        <v>7.4510781065088752E-4</v>
      </c>
      <c r="D72" s="131">
        <f>AO59</f>
        <v>0.89444853742367325</v>
      </c>
      <c r="E72" s="78">
        <f t="shared" si="40"/>
        <v>5.0161538461538464E-3</v>
      </c>
      <c r="F72" s="81">
        <f>AM17-E72</f>
        <v>3.1937692307692313E-2</v>
      </c>
      <c r="G72" s="132">
        <f t="shared" si="47"/>
        <v>3.5706573348181787E-2</v>
      </c>
      <c r="H72" s="133">
        <v>2</v>
      </c>
      <c r="I72" s="72">
        <f t="shared" si="41"/>
        <v>13.476462515349073</v>
      </c>
      <c r="J72" s="72">
        <f t="shared" si="46"/>
        <v>47.65711667243589</v>
      </c>
      <c r="K72" s="134">
        <f t="shared" si="42"/>
        <v>287.14287290569291</v>
      </c>
      <c r="L72" s="135">
        <f t="shared" si="45"/>
        <v>3067.7285595012272</v>
      </c>
      <c r="M72" s="9">
        <f t="shared" si="43"/>
        <v>1.1165736807996804E-2</v>
      </c>
      <c r="N72" s="136" t="b">
        <f t="shared" si="44"/>
        <v>1</v>
      </c>
      <c r="O72" s="28"/>
      <c r="P72" s="138"/>
      <c r="Q72" s="74"/>
      <c r="R72" s="74"/>
      <c r="S72" s="74"/>
      <c r="T72" s="138"/>
      <c r="U72" s="74"/>
      <c r="V72" s="74"/>
      <c r="W72" s="74"/>
      <c r="X72" s="138"/>
      <c r="Y72" s="74"/>
      <c r="Z72" s="74"/>
      <c r="AA72" s="74"/>
      <c r="AB72" s="138"/>
      <c r="AC72" s="74"/>
      <c r="AD72" s="74"/>
      <c r="AE72" s="74"/>
      <c r="AF72" s="138"/>
      <c r="AG72" s="74"/>
      <c r="AH72" s="74"/>
      <c r="AI72" s="74"/>
      <c r="AJ72" s="138"/>
      <c r="AK72" s="74"/>
      <c r="AL72" s="74"/>
      <c r="AM72" s="74"/>
      <c r="AN72" s="138"/>
      <c r="AO72" s="74"/>
      <c r="AP72" s="74"/>
      <c r="AQ72" s="74"/>
      <c r="AR72" s="138"/>
      <c r="AS72" s="74"/>
      <c r="AT72" s="74"/>
      <c r="AU72" s="74"/>
      <c r="AV72" s="138"/>
      <c r="AW72" s="74"/>
      <c r="AX72" s="74"/>
      <c r="AY72" s="74"/>
      <c r="AZ72" s="138"/>
      <c r="BA72" s="74"/>
      <c r="BB72" s="74"/>
      <c r="BC72" s="74"/>
      <c r="BD72" s="138"/>
      <c r="BE72" s="74"/>
      <c r="BF72" s="74"/>
      <c r="BG72" s="74"/>
      <c r="BH72" s="138"/>
      <c r="BI72" s="74"/>
      <c r="BJ72" s="138"/>
      <c r="BK72" s="138"/>
      <c r="BL72" s="138"/>
      <c r="BM72" s="138"/>
      <c r="BN72" s="138"/>
      <c r="BO72" s="138"/>
      <c r="BP72" s="138"/>
      <c r="BQ72" s="138"/>
      <c r="BR72" s="138"/>
      <c r="BS72" s="138"/>
      <c r="BT72" s="138"/>
    </row>
    <row r="73" spans="1:72" ht="13.2" x14ac:dyDescent="0.25">
      <c r="A73" s="70" t="s">
        <v>95</v>
      </c>
      <c r="B73" s="70">
        <f>AR56</f>
        <v>5.797121775147929E-3</v>
      </c>
      <c r="C73" s="96">
        <f>AS57</f>
        <v>1.1084007100591717E-3</v>
      </c>
      <c r="D73" s="131">
        <f>AS59</f>
        <v>1.3305556321114724</v>
      </c>
      <c r="E73" s="78">
        <f t="shared" si="40"/>
        <v>5.0161538461538464E-3</v>
      </c>
      <c r="F73" s="81">
        <f>AQ17-E73</f>
        <v>1.3506923076923073E-2</v>
      </c>
      <c r="G73" s="132">
        <f t="shared" si="47"/>
        <v>1.0151340350563769E-2</v>
      </c>
      <c r="H73" s="133">
        <v>6</v>
      </c>
      <c r="I73" s="72">
        <f t="shared" si="41"/>
        <v>4.1578732380452088</v>
      </c>
      <c r="J73" s="72">
        <f t="shared" si="46"/>
        <v>51.814989910481103</v>
      </c>
      <c r="K73" s="134">
        <f t="shared" si="42"/>
        <v>305.38918429023067</v>
      </c>
      <c r="L73" s="135">
        <f t="shared" si="45"/>
        <v>3373.117743791458</v>
      </c>
      <c r="M73" s="9">
        <f t="shared" si="43"/>
        <v>1.1329281236633754E-2</v>
      </c>
      <c r="N73" s="72" t="b">
        <f t="shared" si="44"/>
        <v>0</v>
      </c>
      <c r="O73" s="28"/>
      <c r="P73" s="138"/>
      <c r="Q73" s="74"/>
      <c r="R73" s="74"/>
      <c r="S73" s="74"/>
      <c r="T73" s="138"/>
      <c r="U73" s="74"/>
      <c r="V73" s="74"/>
      <c r="W73" s="74"/>
      <c r="X73" s="138"/>
      <c r="Y73" s="74"/>
      <c r="Z73" s="74"/>
      <c r="AA73" s="74"/>
      <c r="AB73" s="138"/>
      <c r="AC73" s="74"/>
      <c r="AD73" s="74"/>
      <c r="AE73" s="74"/>
      <c r="AF73" s="138"/>
      <c r="AG73" s="74"/>
      <c r="AH73" s="74"/>
      <c r="AI73" s="74"/>
      <c r="AJ73" s="138"/>
      <c r="AK73" s="74"/>
      <c r="AL73" s="74"/>
      <c r="AM73" s="74"/>
      <c r="AN73" s="138"/>
      <c r="AO73" s="74"/>
      <c r="AP73" s="74"/>
      <c r="AQ73" s="74"/>
      <c r="AR73" s="138"/>
      <c r="AS73" s="74"/>
      <c r="AT73" s="74"/>
      <c r="AU73" s="74"/>
      <c r="AV73" s="138"/>
      <c r="AW73" s="74"/>
      <c r="AX73" s="74"/>
      <c r="AY73" s="74"/>
      <c r="AZ73" s="138"/>
      <c r="BA73" s="74"/>
      <c r="BB73" s="74"/>
      <c r="BC73" s="74"/>
      <c r="BD73" s="138"/>
      <c r="BE73" s="74"/>
      <c r="BF73" s="74"/>
      <c r="BG73" s="74"/>
      <c r="BH73" s="138"/>
      <c r="BI73" s="74"/>
      <c r="BJ73" s="138"/>
      <c r="BK73" s="138"/>
      <c r="BL73" s="138"/>
      <c r="BM73" s="138"/>
      <c r="BN73" s="138"/>
      <c r="BO73" s="138"/>
      <c r="BP73" s="138"/>
      <c r="BQ73" s="138"/>
      <c r="BR73" s="138"/>
      <c r="BS73" s="138"/>
      <c r="BT73" s="138"/>
    </row>
    <row r="74" spans="1:72" ht="13.2" x14ac:dyDescent="0.25">
      <c r="A74" s="70" t="s">
        <v>94</v>
      </c>
      <c r="B74" s="70">
        <f>AV56</f>
        <v>7.0796738461538482E-3</v>
      </c>
      <c r="C74" s="96">
        <f>AW57</f>
        <v>7.2590142011834337E-4</v>
      </c>
      <c r="D74" s="131">
        <f>AW59</f>
        <v>0.87139264178621478</v>
      </c>
      <c r="E74" s="78">
        <f t="shared" si="40"/>
        <v>5.0161538461538464E-3</v>
      </c>
      <c r="F74" s="81">
        <f>AU17-E74</f>
        <v>1.2483846153846206E-2</v>
      </c>
      <c r="G74" s="132">
        <f t="shared" si="47"/>
        <v>1.4326315779137554E-2</v>
      </c>
      <c r="H74" s="133">
        <v>4</v>
      </c>
      <c r="I74" s="72">
        <f t="shared" si="41"/>
        <v>1.6873141832153777</v>
      </c>
      <c r="J74" s="72">
        <f t="shared" si="46"/>
        <v>53.50230409369648</v>
      </c>
      <c r="K74" s="134">
        <f t="shared" si="42"/>
        <v>107.25425389076003</v>
      </c>
      <c r="L74" s="135">
        <f t="shared" si="45"/>
        <v>3480.3719976822181</v>
      </c>
      <c r="M74" s="9">
        <f t="shared" si="43"/>
        <v>1.1430161543909675E-2</v>
      </c>
      <c r="N74" s="136" t="b">
        <f t="shared" si="44"/>
        <v>1</v>
      </c>
      <c r="O74" s="28"/>
      <c r="P74" s="138"/>
      <c r="Q74" s="74"/>
      <c r="R74" s="74"/>
      <c r="S74" s="74"/>
      <c r="T74" s="138"/>
      <c r="U74" s="74"/>
      <c r="V74" s="74"/>
      <c r="W74" s="74"/>
      <c r="X74" s="138"/>
      <c r="Y74" s="74"/>
      <c r="Z74" s="74"/>
      <c r="AA74" s="74"/>
      <c r="AB74" s="138"/>
      <c r="AC74" s="74"/>
      <c r="AD74" s="74"/>
      <c r="AE74" s="74"/>
      <c r="AF74" s="138"/>
      <c r="AG74" s="74"/>
      <c r="AH74" s="74"/>
      <c r="AI74" s="74"/>
      <c r="AJ74" s="138"/>
      <c r="AK74" s="74"/>
      <c r="AL74" s="74"/>
      <c r="AM74" s="74"/>
      <c r="AN74" s="138"/>
      <c r="AO74" s="74"/>
      <c r="AP74" s="74"/>
      <c r="AQ74" s="74"/>
      <c r="AR74" s="138"/>
      <c r="AS74" s="74"/>
      <c r="AT74" s="74"/>
      <c r="AU74" s="74"/>
      <c r="AV74" s="138"/>
      <c r="AW74" s="74"/>
      <c r="AX74" s="74"/>
      <c r="AY74" s="74"/>
      <c r="AZ74" s="138"/>
      <c r="BA74" s="74"/>
      <c r="BB74" s="74"/>
      <c r="BC74" s="74"/>
      <c r="BD74" s="138"/>
      <c r="BE74" s="74"/>
      <c r="BF74" s="74"/>
      <c r="BG74" s="74"/>
      <c r="BH74" s="138"/>
      <c r="BI74" s="74"/>
      <c r="BJ74" s="138"/>
      <c r="BK74" s="138"/>
      <c r="BL74" s="138"/>
      <c r="BM74" s="138"/>
      <c r="BN74" s="138"/>
      <c r="BO74" s="138"/>
      <c r="BP74" s="138"/>
      <c r="BQ74" s="138"/>
      <c r="BR74" s="138"/>
      <c r="BS74" s="138"/>
      <c r="BT74" s="138"/>
    </row>
    <row r="75" spans="1:72" ht="13.2" x14ac:dyDescent="0.25">
      <c r="A75" s="70" t="s">
        <v>93</v>
      </c>
      <c r="B75" s="70">
        <f>AZ56</f>
        <v>3.7788507692307696E-3</v>
      </c>
      <c r="C75" s="96">
        <f>BA57</f>
        <v>9.905330769230771E-4</v>
      </c>
      <c r="D75" s="131">
        <f>BA59</f>
        <v>1.1890639841094541</v>
      </c>
      <c r="E75" s="78">
        <f t="shared" si="40"/>
        <v>5.0161538461538464E-3</v>
      </c>
      <c r="F75" s="81">
        <f>AY17-E75</f>
        <v>1.2983846153846151E-2</v>
      </c>
      <c r="G75" s="132">
        <f t="shared" si="47"/>
        <v>1.0919383924970501E-2</v>
      </c>
      <c r="H75" s="133">
        <v>5</v>
      </c>
      <c r="I75" s="72">
        <f t="shared" si="41"/>
        <v>5.9355498923502052</v>
      </c>
      <c r="J75" s="72">
        <f t="shared" si="46"/>
        <v>59.437853986046683</v>
      </c>
      <c r="K75" s="134">
        <f t="shared" si="42"/>
        <v>374.15427193333147</v>
      </c>
      <c r="L75" s="135">
        <f t="shared" si="45"/>
        <v>3854.5262696155496</v>
      </c>
      <c r="M75" s="10">
        <f t="shared" si="43"/>
        <v>1.1758335829862465E-2</v>
      </c>
      <c r="N75" s="72" t="b">
        <f t="shared" si="44"/>
        <v>0</v>
      </c>
      <c r="O75" s="28"/>
      <c r="P75" s="138"/>
      <c r="Q75" s="74"/>
      <c r="R75" s="74"/>
      <c r="S75" s="74"/>
      <c r="T75" s="138"/>
      <c r="U75" s="74"/>
      <c r="V75" s="74"/>
      <c r="W75" s="74"/>
      <c r="X75" s="138"/>
      <c r="Y75" s="74"/>
      <c r="Z75" s="74"/>
      <c r="AA75" s="74"/>
      <c r="AB75" s="138"/>
      <c r="AC75" s="74"/>
      <c r="AD75" s="74"/>
      <c r="AE75" s="74"/>
      <c r="AF75" s="138"/>
      <c r="AG75" s="74"/>
      <c r="AH75" s="74"/>
      <c r="AI75" s="74"/>
      <c r="AJ75" s="138"/>
      <c r="AK75" s="74"/>
      <c r="AL75" s="74"/>
      <c r="AM75" s="74"/>
      <c r="AN75" s="138"/>
      <c r="AO75" s="74"/>
      <c r="AP75" s="74"/>
      <c r="AQ75" s="74"/>
      <c r="AR75" s="138"/>
      <c r="AS75" s="74"/>
      <c r="AT75" s="74"/>
      <c r="AU75" s="74"/>
      <c r="AV75" s="138"/>
      <c r="AW75" s="74"/>
      <c r="AX75" s="74"/>
      <c r="AY75" s="74"/>
      <c r="AZ75" s="138"/>
      <c r="BA75" s="74"/>
      <c r="BB75" s="74"/>
      <c r="BC75" s="74"/>
      <c r="BD75" s="138"/>
      <c r="BE75" s="74"/>
      <c r="BF75" s="74"/>
      <c r="BG75" s="74"/>
      <c r="BH75" s="138"/>
      <c r="BI75" s="74"/>
      <c r="BJ75" s="138"/>
      <c r="BK75" s="138"/>
      <c r="BL75" s="138"/>
      <c r="BM75" s="138"/>
      <c r="BN75" s="138"/>
      <c r="BO75" s="138"/>
      <c r="BP75" s="138"/>
      <c r="BQ75" s="138"/>
      <c r="BR75" s="138"/>
      <c r="BS75" s="138"/>
      <c r="BT75" s="138"/>
    </row>
    <row r="76" spans="1:72" ht="13.2" x14ac:dyDescent="0.25">
      <c r="A76" s="70" t="s">
        <v>92</v>
      </c>
      <c r="B76" s="70">
        <f>BD56</f>
        <v>6.2689600000000022E-3</v>
      </c>
      <c r="C76" s="96">
        <f>BE57</f>
        <v>1.2307992307692311E-3</v>
      </c>
      <c r="D76" s="131">
        <f>BE59</f>
        <v>1.4774862859940274</v>
      </c>
      <c r="E76" s="78">
        <f t="shared" si="40"/>
        <v>5.0161538461538464E-3</v>
      </c>
      <c r="F76" s="81">
        <f>BC17-E76</f>
        <v>8.2838461538461521E-3</v>
      </c>
      <c r="G76" s="132">
        <f t="shared" si="47"/>
        <v>5.6067161044902171E-3</v>
      </c>
      <c r="H76" s="133">
        <v>11</v>
      </c>
      <c r="I76" s="72">
        <f t="shared" si="41"/>
        <v>2.7501064593708406</v>
      </c>
      <c r="J76" s="72">
        <f t="shared" si="46"/>
        <v>62.187960445417524</v>
      </c>
      <c r="K76" s="134">
        <f t="shared" si="42"/>
        <v>348.21816143354306</v>
      </c>
      <c r="L76" s="135">
        <f t="shared" si="45"/>
        <v>4202.7444310490928</v>
      </c>
      <c r="M76" s="9">
        <f t="shared" si="43"/>
        <v>1.1509526532054842E-2</v>
      </c>
      <c r="N76" s="72" t="b">
        <f t="shared" si="44"/>
        <v>0</v>
      </c>
      <c r="O76" s="28"/>
      <c r="P76" s="138"/>
      <c r="Q76" s="74"/>
      <c r="R76" s="74"/>
      <c r="S76" s="74"/>
      <c r="T76" s="138"/>
      <c r="U76" s="74"/>
      <c r="V76" s="74"/>
      <c r="W76" s="74"/>
      <c r="X76" s="138"/>
      <c r="Y76" s="74"/>
      <c r="Z76" s="74"/>
      <c r="AA76" s="74"/>
      <c r="AB76" s="138"/>
      <c r="AC76" s="74"/>
      <c r="AD76" s="74"/>
      <c r="AE76" s="74"/>
      <c r="AF76" s="138"/>
      <c r="AG76" s="74"/>
      <c r="AH76" s="74"/>
      <c r="AI76" s="74"/>
      <c r="AJ76" s="138"/>
      <c r="AK76" s="74"/>
      <c r="AL76" s="74"/>
      <c r="AM76" s="74"/>
      <c r="AN76" s="138"/>
      <c r="AO76" s="74"/>
      <c r="AP76" s="74"/>
      <c r="AQ76" s="74"/>
      <c r="AR76" s="138"/>
      <c r="AS76" s="74"/>
      <c r="AT76" s="74"/>
      <c r="AU76" s="74"/>
      <c r="AV76" s="138"/>
      <c r="AW76" s="74"/>
      <c r="AX76" s="74"/>
      <c r="AY76" s="74"/>
      <c r="AZ76" s="138"/>
      <c r="BA76" s="74"/>
      <c r="BB76" s="74"/>
      <c r="BC76" s="74"/>
      <c r="BD76" s="138"/>
      <c r="BE76" s="74"/>
      <c r="BF76" s="74"/>
      <c r="BG76" s="74"/>
      <c r="BH76" s="138"/>
      <c r="BI76" s="74"/>
      <c r="BJ76" s="138"/>
      <c r="BK76" s="138"/>
      <c r="BL76" s="138"/>
      <c r="BM76" s="138"/>
      <c r="BN76" s="138"/>
      <c r="BO76" s="138"/>
      <c r="BP76" s="138"/>
      <c r="BQ76" s="138"/>
      <c r="BR76" s="138"/>
      <c r="BS76" s="138"/>
      <c r="BT76" s="138"/>
    </row>
    <row r="77" spans="1:72" ht="13.2" x14ac:dyDescent="0.25">
      <c r="A77" s="70" t="s">
        <v>91</v>
      </c>
      <c r="B77" s="70">
        <f>BH56</f>
        <v>4.4648200000000004E-3</v>
      </c>
      <c r="C77" s="96">
        <f>BI57</f>
        <v>1.4938815384615384E-3</v>
      </c>
      <c r="D77" s="131">
        <f>BI59</f>
        <v>1.7932977457234205</v>
      </c>
      <c r="E77" s="78">
        <f t="shared" si="40"/>
        <v>5.0161538461538464E-3</v>
      </c>
      <c r="F77" s="81">
        <f>BG17-E77</f>
        <v>1.1838461538461516E-3</v>
      </c>
      <c r="G77" s="132">
        <f t="shared" si="47"/>
        <v>6.6015036079164057E-4</v>
      </c>
      <c r="H77" s="133">
        <v>15</v>
      </c>
      <c r="I77" s="72">
        <f t="shared" si="41"/>
        <v>1.1887862161148948</v>
      </c>
      <c r="J77" s="72">
        <f>SUM(I77+J76)</f>
        <v>63.376746661532415</v>
      </c>
      <c r="K77" s="134">
        <f t="shared" si="42"/>
        <v>720.27916126892046</v>
      </c>
      <c r="L77" s="135">
        <f>SUM(K77+L76)</f>
        <v>4923.0235923180135</v>
      </c>
      <c r="M77" s="9">
        <f>($B$56*J77)/(1+($B$56*L77))</f>
        <v>1.0349839810994537E-2</v>
      </c>
      <c r="N77" s="72" t="b">
        <f t="shared" si="44"/>
        <v>0</v>
      </c>
      <c r="O77" s="28"/>
      <c r="P77" s="138"/>
      <c r="Q77" s="74"/>
      <c r="R77" s="74"/>
      <c r="S77" s="74"/>
      <c r="T77" s="138"/>
      <c r="U77" s="74"/>
      <c r="V77" s="74"/>
      <c r="W77" s="74"/>
      <c r="X77" s="138"/>
      <c r="Y77" s="74"/>
      <c r="Z77" s="74"/>
      <c r="AA77" s="74"/>
      <c r="AB77" s="138"/>
      <c r="AC77" s="74"/>
      <c r="AD77" s="74"/>
      <c r="AE77" s="74"/>
      <c r="AF77" s="138"/>
      <c r="AG77" s="74"/>
      <c r="AH77" s="74"/>
      <c r="AI77" s="74"/>
      <c r="AJ77" s="138"/>
      <c r="AK77" s="74"/>
      <c r="AL77" s="74"/>
      <c r="AM77" s="74"/>
      <c r="AN77" s="138"/>
      <c r="AO77" s="74"/>
      <c r="AP77" s="74"/>
      <c r="AQ77" s="74"/>
      <c r="AR77" s="138"/>
      <c r="AS77" s="74"/>
      <c r="AT77" s="74"/>
      <c r="AU77" s="74"/>
      <c r="AV77" s="138"/>
      <c r="AW77" s="74"/>
      <c r="AX77" s="74"/>
      <c r="AY77" s="74"/>
      <c r="AZ77" s="138"/>
      <c r="BA77" s="74"/>
      <c r="BB77" s="74"/>
      <c r="BC77" s="74"/>
      <c r="BD77" s="138"/>
      <c r="BE77" s="74"/>
      <c r="BF77" s="74"/>
      <c r="BG77" s="74"/>
      <c r="BH77" s="138"/>
      <c r="BI77" s="74"/>
      <c r="BJ77" s="138"/>
      <c r="BK77" s="138"/>
      <c r="BL77" s="138"/>
      <c r="BM77" s="138"/>
      <c r="BN77" s="138"/>
      <c r="BO77" s="138"/>
      <c r="BP77" s="138"/>
      <c r="BQ77" s="138"/>
      <c r="BR77" s="138"/>
      <c r="BS77" s="138"/>
      <c r="BT77" s="138"/>
    </row>
    <row r="78" spans="1:72" ht="13.2" x14ac:dyDescent="0.25">
      <c r="A78" s="87"/>
      <c r="B78" s="87"/>
      <c r="C78" s="128"/>
      <c r="D78" s="128"/>
      <c r="E78" s="129"/>
      <c r="F78" s="28"/>
      <c r="G78" s="28"/>
      <c r="H78" s="26"/>
      <c r="I78" s="28"/>
      <c r="J78" s="28"/>
      <c r="K78" s="28"/>
      <c r="L78" s="26"/>
      <c r="M78" s="28"/>
      <c r="N78" s="28"/>
      <c r="O78" s="28"/>
      <c r="P78" s="138"/>
      <c r="Q78" s="74"/>
      <c r="R78" s="74"/>
      <c r="S78" s="74"/>
      <c r="T78" s="138"/>
      <c r="U78" s="74"/>
      <c r="V78" s="74"/>
      <c r="W78" s="74"/>
      <c r="X78" s="138"/>
      <c r="Y78" s="74"/>
      <c r="Z78" s="74"/>
      <c r="AA78" s="74"/>
      <c r="AB78" s="138"/>
      <c r="AC78" s="74"/>
      <c r="AD78" s="74"/>
      <c r="AE78" s="74"/>
      <c r="AF78" s="138"/>
      <c r="AG78" s="74"/>
      <c r="AH78" s="74"/>
      <c r="AI78" s="74"/>
      <c r="AJ78" s="138"/>
      <c r="AK78" s="74"/>
      <c r="AL78" s="74"/>
      <c r="AM78" s="74"/>
      <c r="AN78" s="138"/>
      <c r="AO78" s="74"/>
      <c r="AP78" s="74"/>
      <c r="AQ78" s="74"/>
      <c r="AR78" s="138"/>
      <c r="AS78" s="74"/>
      <c r="AT78" s="74"/>
      <c r="AU78" s="74"/>
      <c r="AV78" s="138"/>
      <c r="AW78" s="74"/>
      <c r="AX78" s="74"/>
      <c r="AY78" s="74"/>
      <c r="AZ78" s="138"/>
      <c r="BA78" s="74"/>
      <c r="BB78" s="74"/>
      <c r="BC78" s="74"/>
      <c r="BD78" s="138"/>
      <c r="BE78" s="74"/>
      <c r="BF78" s="74"/>
      <c r="BG78" s="74"/>
      <c r="BH78" s="138"/>
      <c r="BI78" s="74"/>
      <c r="BJ78" s="138"/>
      <c r="BK78" s="138"/>
      <c r="BL78" s="138"/>
      <c r="BM78" s="138"/>
      <c r="BN78" s="138"/>
      <c r="BO78" s="138"/>
      <c r="BP78" s="138"/>
      <c r="BQ78" s="138"/>
      <c r="BR78" s="138"/>
      <c r="BS78" s="138"/>
      <c r="BT78" s="138"/>
    </row>
    <row r="79" spans="1:72" ht="13.2" x14ac:dyDescent="0.25">
      <c r="A79" s="87"/>
      <c r="B79" s="87"/>
      <c r="C79" s="128"/>
      <c r="D79" s="128"/>
      <c r="E79" s="129"/>
      <c r="F79" s="28"/>
      <c r="G79" s="28"/>
      <c r="H79" s="26"/>
      <c r="I79" s="28"/>
      <c r="J79" s="28"/>
      <c r="K79" s="28"/>
      <c r="L79" s="26"/>
      <c r="M79" s="28"/>
      <c r="N79" s="28"/>
      <c r="O79" s="28"/>
      <c r="P79" s="138"/>
      <c r="Q79" s="74"/>
      <c r="R79" s="74"/>
      <c r="S79" s="74"/>
      <c r="T79" s="138"/>
      <c r="U79" s="74"/>
      <c r="V79" s="74"/>
      <c r="W79" s="74"/>
      <c r="X79" s="138"/>
      <c r="Y79" s="74"/>
      <c r="Z79" s="74"/>
      <c r="AA79" s="74"/>
      <c r="AB79" s="138"/>
      <c r="AC79" s="74"/>
      <c r="AD79" s="74"/>
      <c r="AE79" s="74"/>
      <c r="AF79" s="138"/>
      <c r="AG79" s="74"/>
      <c r="AH79" s="74"/>
      <c r="AI79" s="74"/>
      <c r="AJ79" s="138"/>
      <c r="AK79" s="74"/>
      <c r="AL79" s="74"/>
      <c r="AM79" s="74"/>
      <c r="AN79" s="138"/>
      <c r="AO79" s="74"/>
      <c r="AP79" s="74"/>
      <c r="AQ79" s="74"/>
      <c r="AR79" s="138"/>
      <c r="AS79" s="74"/>
      <c r="AT79" s="74"/>
      <c r="AU79" s="74"/>
      <c r="AV79" s="138"/>
      <c r="AW79" s="74"/>
      <c r="AX79" s="74"/>
      <c r="AY79" s="74"/>
      <c r="AZ79" s="138"/>
      <c r="BA79" s="74"/>
      <c r="BB79" s="74"/>
      <c r="BC79" s="74"/>
      <c r="BD79" s="138"/>
      <c r="BE79" s="74"/>
      <c r="BF79" s="74"/>
      <c r="BG79" s="74"/>
      <c r="BH79" s="138"/>
      <c r="BI79" s="74"/>
      <c r="BJ79" s="138"/>
      <c r="BK79" s="138"/>
      <c r="BL79" s="138"/>
      <c r="BM79" s="138"/>
      <c r="BN79" s="138"/>
      <c r="BO79" s="138"/>
      <c r="BP79" s="138"/>
      <c r="BQ79" s="138"/>
      <c r="BR79" s="138"/>
      <c r="BS79" s="138"/>
      <c r="BT79" s="138"/>
    </row>
    <row r="80" spans="1:72" ht="13.2" x14ac:dyDescent="0.25">
      <c r="A80" s="87"/>
      <c r="B80" s="87"/>
      <c r="C80" s="128"/>
      <c r="D80" s="128"/>
      <c r="E80" s="129"/>
      <c r="F80" s="28"/>
      <c r="G80" s="28"/>
      <c r="H80" s="26"/>
      <c r="I80" s="28"/>
      <c r="J80" s="28"/>
      <c r="K80" s="28"/>
      <c r="L80" s="26"/>
      <c r="M80" s="28"/>
      <c r="N80" s="28"/>
      <c r="O80" s="28"/>
      <c r="P80" s="138"/>
      <c r="Q80" s="74"/>
      <c r="R80" s="74"/>
      <c r="S80" s="74"/>
      <c r="T80" s="138"/>
      <c r="U80" s="74"/>
      <c r="V80" s="74"/>
      <c r="W80" s="74"/>
      <c r="X80" s="138"/>
      <c r="Y80" s="74"/>
      <c r="Z80" s="74"/>
      <c r="AA80" s="74"/>
      <c r="AB80" s="138"/>
      <c r="AC80" s="74"/>
      <c r="AD80" s="74"/>
      <c r="AE80" s="74"/>
      <c r="AF80" s="138"/>
      <c r="AG80" s="74"/>
      <c r="AH80" s="74"/>
      <c r="AI80" s="74"/>
      <c r="AJ80" s="138"/>
      <c r="AK80" s="74"/>
      <c r="AL80" s="74"/>
      <c r="AM80" s="74"/>
      <c r="AN80" s="138"/>
      <c r="AO80" s="74"/>
      <c r="AP80" s="74"/>
      <c r="AQ80" s="74"/>
      <c r="AR80" s="138"/>
      <c r="AS80" s="74"/>
      <c r="AT80" s="74"/>
      <c r="AU80" s="74"/>
      <c r="AV80" s="138"/>
      <c r="AW80" s="74"/>
      <c r="AX80" s="74"/>
      <c r="AY80" s="74"/>
      <c r="AZ80" s="138"/>
      <c r="BA80" s="74"/>
      <c r="BB80" s="74"/>
      <c r="BC80" s="74"/>
      <c r="BD80" s="138"/>
      <c r="BE80" s="74"/>
      <c r="BF80" s="74"/>
      <c r="BG80" s="74"/>
      <c r="BH80" s="138"/>
      <c r="BI80" s="74"/>
      <c r="BJ80" s="138"/>
      <c r="BK80" s="138"/>
      <c r="BL80" s="138"/>
      <c r="BM80" s="138"/>
      <c r="BN80" s="138"/>
      <c r="BO80" s="138"/>
      <c r="BP80" s="138"/>
      <c r="BQ80" s="138"/>
      <c r="BR80" s="138"/>
      <c r="BS80" s="138"/>
      <c r="BT80" s="138"/>
    </row>
    <row r="81" spans="1:72" ht="13.2" x14ac:dyDescent="0.25">
      <c r="A81" s="13" t="s">
        <v>76</v>
      </c>
      <c r="B81" s="13" t="s">
        <v>62</v>
      </c>
      <c r="C81" s="150" t="s">
        <v>98</v>
      </c>
      <c r="D81" s="150" t="s">
        <v>99</v>
      </c>
      <c r="E81" s="151" t="s">
        <v>75</v>
      </c>
      <c r="F81" s="150" t="s">
        <v>100</v>
      </c>
      <c r="G81" s="28"/>
      <c r="H81" s="26"/>
      <c r="I81" s="28"/>
      <c r="J81" s="28"/>
      <c r="K81" s="28"/>
      <c r="L81" s="26"/>
      <c r="M81" s="28"/>
      <c r="N81" s="28"/>
      <c r="O81" s="28"/>
      <c r="P81" s="138"/>
      <c r="Q81" s="74"/>
      <c r="R81" s="74"/>
      <c r="S81" s="74"/>
      <c r="T81" s="138"/>
      <c r="U81" s="74"/>
      <c r="V81" s="74"/>
      <c r="W81" s="74"/>
      <c r="X81" s="138"/>
      <c r="Y81" s="74"/>
      <c r="Z81" s="74"/>
      <c r="AA81" s="74"/>
      <c r="AB81" s="138"/>
      <c r="AC81" s="74"/>
      <c r="AD81" s="74"/>
      <c r="AE81" s="74"/>
      <c r="AF81" s="138"/>
      <c r="AG81" s="74"/>
      <c r="AH81" s="74"/>
      <c r="AI81" s="74"/>
      <c r="AJ81" s="138"/>
      <c r="AK81" s="74"/>
      <c r="AL81" s="74"/>
      <c r="AM81" s="74"/>
      <c r="AN81" s="138"/>
      <c r="AO81" s="74"/>
      <c r="AP81" s="74"/>
      <c r="AQ81" s="74"/>
      <c r="AR81" s="138"/>
      <c r="AS81" s="74"/>
      <c r="AT81" s="74"/>
      <c r="AU81" s="74"/>
      <c r="AV81" s="138"/>
      <c r="AW81" s="74"/>
      <c r="AX81" s="74"/>
      <c r="AY81" s="74"/>
      <c r="AZ81" s="138"/>
      <c r="BA81" s="74"/>
      <c r="BB81" s="74"/>
      <c r="BC81" s="74"/>
      <c r="BD81" s="138"/>
      <c r="BE81" s="74"/>
      <c r="BF81" s="74"/>
      <c r="BG81" s="74"/>
      <c r="BH81" s="138"/>
      <c r="BI81" s="74"/>
      <c r="BJ81" s="138"/>
      <c r="BK81" s="138"/>
      <c r="BL81" s="138"/>
      <c r="BM81" s="138"/>
      <c r="BN81" s="138"/>
      <c r="BO81" s="138"/>
      <c r="BP81" s="138"/>
      <c r="BQ81" s="138"/>
      <c r="BR81" s="138"/>
      <c r="BS81" s="138"/>
      <c r="BT81" s="138"/>
    </row>
    <row r="82" spans="1:72" ht="13.2" x14ac:dyDescent="0.25">
      <c r="A82" s="70" t="s">
        <v>82</v>
      </c>
      <c r="B82" s="141">
        <v>1.79075930147288</v>
      </c>
      <c r="C82" s="131">
        <f>B82*B82:B82</f>
        <v>3.2068188758116372</v>
      </c>
      <c r="D82" s="142">
        <f>C82*$A$97</f>
        <v>2.6713954931295845E-3</v>
      </c>
      <c r="E82" s="140">
        <v>8.5107199999999994E-3</v>
      </c>
      <c r="F82" s="124">
        <f>E82-D82</f>
        <v>5.8393245068704153E-3</v>
      </c>
      <c r="G82" s="28"/>
      <c r="H82" s="26"/>
      <c r="I82" s="28"/>
      <c r="J82" s="28"/>
      <c r="K82" s="28"/>
      <c r="L82" s="26"/>
      <c r="M82" s="28"/>
      <c r="N82" s="28"/>
      <c r="O82" s="28"/>
      <c r="P82" s="138"/>
      <c r="Q82" s="74"/>
      <c r="R82" s="74"/>
      <c r="S82" s="74"/>
      <c r="T82" s="138"/>
      <c r="U82" s="74"/>
      <c r="V82" s="74"/>
      <c r="W82" s="74"/>
      <c r="X82" s="138"/>
      <c r="Y82" s="74"/>
      <c r="Z82" s="74"/>
      <c r="AA82" s="74"/>
      <c r="AB82" s="138"/>
      <c r="AC82" s="74"/>
      <c r="AD82" s="74"/>
      <c r="AE82" s="74"/>
      <c r="AF82" s="138"/>
      <c r="AG82" s="74"/>
      <c r="AH82" s="74"/>
      <c r="AI82" s="74"/>
      <c r="AJ82" s="138"/>
      <c r="AK82" s="74"/>
      <c r="AL82" s="74"/>
      <c r="AM82" s="74"/>
      <c r="AN82" s="138"/>
      <c r="AO82" s="74"/>
      <c r="AP82" s="74"/>
      <c r="AQ82" s="74"/>
      <c r="AR82" s="138"/>
      <c r="AS82" s="74"/>
      <c r="AT82" s="74"/>
      <c r="AU82" s="74"/>
      <c r="AV82" s="138"/>
      <c r="AW82" s="74"/>
      <c r="AX82" s="74"/>
      <c r="AY82" s="74"/>
      <c r="AZ82" s="138"/>
      <c r="BA82" s="74"/>
      <c r="BB82" s="74"/>
      <c r="BC82" s="74"/>
      <c r="BD82" s="138"/>
      <c r="BE82" s="74"/>
      <c r="BF82" s="74"/>
      <c r="BG82" s="74"/>
      <c r="BH82" s="138"/>
      <c r="BI82" s="74"/>
      <c r="BJ82" s="138"/>
      <c r="BK82" s="138"/>
      <c r="BL82" s="138"/>
      <c r="BM82" s="138"/>
      <c r="BN82" s="138"/>
      <c r="BO82" s="138"/>
      <c r="BP82" s="138"/>
      <c r="BQ82" s="138"/>
      <c r="BR82" s="138"/>
      <c r="BS82" s="138"/>
      <c r="BT82" s="138"/>
    </row>
    <row r="83" spans="1:72" ht="13.2" x14ac:dyDescent="0.25">
      <c r="A83" s="70" t="s">
        <v>83</v>
      </c>
      <c r="B83" s="141">
        <v>0.46604286537842465</v>
      </c>
      <c r="C83" s="131">
        <f t="shared" ref="C83:C96" si="48">B83*B83:B83</f>
        <v>0.21719595237013245</v>
      </c>
      <c r="D83" s="142">
        <f t="shared" ref="D83:D96" si="49">C83*$A$97</f>
        <v>1.8093204223787308E-4</v>
      </c>
      <c r="E83" s="140">
        <v>7.4157597633136099E-4</v>
      </c>
      <c r="F83" s="124">
        <f t="shared" ref="F83:F96" si="50">E83-D83</f>
        <v>5.6064393409348788E-4</v>
      </c>
      <c r="G83" s="28"/>
      <c r="H83" s="26"/>
      <c r="I83" s="28"/>
      <c r="J83" s="28"/>
      <c r="K83" s="28"/>
      <c r="L83" s="26"/>
      <c r="M83" s="28"/>
      <c r="N83" s="28"/>
      <c r="O83" s="28"/>
      <c r="P83" s="138"/>
      <c r="Q83" s="74"/>
      <c r="R83" s="74"/>
      <c r="S83" s="74"/>
      <c r="T83" s="138"/>
      <c r="U83" s="74"/>
      <c r="V83" s="74"/>
      <c r="W83" s="74"/>
      <c r="X83" s="138"/>
      <c r="Y83" s="74"/>
      <c r="Z83" s="74"/>
      <c r="AA83" s="74"/>
      <c r="AB83" s="138"/>
      <c r="AC83" s="74"/>
      <c r="AD83" s="74"/>
      <c r="AE83" s="74"/>
      <c r="AF83" s="138"/>
      <c r="AG83" s="74"/>
      <c r="AH83" s="74"/>
      <c r="AI83" s="74"/>
      <c r="AJ83" s="138"/>
      <c r="AK83" s="74"/>
      <c r="AL83" s="74"/>
      <c r="AM83" s="74"/>
      <c r="AN83" s="138"/>
      <c r="AO83" s="74"/>
      <c r="AP83" s="74"/>
      <c r="AQ83" s="74"/>
      <c r="AR83" s="138"/>
      <c r="AS83" s="74"/>
      <c r="AT83" s="74"/>
      <c r="AU83" s="74"/>
      <c r="AV83" s="138"/>
      <c r="AW83" s="74"/>
      <c r="AX83" s="74"/>
      <c r="AY83" s="74"/>
      <c r="AZ83" s="138"/>
      <c r="BA83" s="74"/>
      <c r="BB83" s="74"/>
      <c r="BC83" s="74"/>
      <c r="BD83" s="138"/>
      <c r="BE83" s="74"/>
      <c r="BF83" s="74"/>
      <c r="BG83" s="74"/>
      <c r="BH83" s="138"/>
      <c r="BI83" s="74"/>
      <c r="BJ83" s="138"/>
      <c r="BK83" s="138"/>
      <c r="BL83" s="138"/>
      <c r="BM83" s="138"/>
      <c r="BN83" s="138"/>
      <c r="BO83" s="138"/>
      <c r="BP83" s="138"/>
      <c r="BQ83" s="138"/>
      <c r="BR83" s="138"/>
      <c r="BS83" s="138"/>
      <c r="BT83" s="138"/>
    </row>
    <row r="84" spans="1:72" ht="13.2" x14ac:dyDescent="0.25">
      <c r="A84" s="70" t="s">
        <v>84</v>
      </c>
      <c r="B84" s="141">
        <v>0.5241455862451655</v>
      </c>
      <c r="C84" s="131">
        <f t="shared" si="48"/>
        <v>0.27472859558028823</v>
      </c>
      <c r="D84" s="142">
        <f t="shared" si="49"/>
        <v>2.2885880384536904E-4</v>
      </c>
      <c r="E84" s="140">
        <v>9.4733617799999999E-3</v>
      </c>
      <c r="F84" s="124">
        <f t="shared" si="50"/>
        <v>9.244502976154631E-3</v>
      </c>
      <c r="G84" s="28"/>
      <c r="H84" s="26"/>
      <c r="I84" s="28"/>
      <c r="J84" s="28"/>
      <c r="K84" s="28"/>
      <c r="L84" s="26"/>
      <c r="M84" s="28"/>
      <c r="N84" s="28"/>
      <c r="O84" s="28"/>
      <c r="P84" s="138"/>
      <c r="Q84" s="74"/>
      <c r="R84" s="74"/>
      <c r="S84" s="74"/>
      <c r="T84" s="138"/>
      <c r="U84" s="74"/>
      <c r="V84" s="74"/>
      <c r="W84" s="74"/>
      <c r="X84" s="138"/>
      <c r="Y84" s="74"/>
      <c r="Z84" s="74"/>
      <c r="AA84" s="74"/>
      <c r="AB84" s="138"/>
      <c r="AC84" s="74"/>
      <c r="AD84" s="74"/>
      <c r="AE84" s="74"/>
      <c r="AF84" s="138"/>
      <c r="AG84" s="74"/>
      <c r="AH84" s="74"/>
      <c r="AI84" s="74"/>
      <c r="AJ84" s="138"/>
      <c r="AK84" s="74"/>
      <c r="AL84" s="74"/>
      <c r="AM84" s="74"/>
      <c r="AN84" s="138"/>
      <c r="AO84" s="74"/>
      <c r="AP84" s="74"/>
      <c r="AQ84" s="74"/>
      <c r="AR84" s="138"/>
      <c r="AS84" s="74"/>
      <c r="AT84" s="74"/>
      <c r="AU84" s="74"/>
      <c r="AV84" s="138"/>
      <c r="AW84" s="74"/>
      <c r="AX84" s="74"/>
      <c r="AY84" s="74"/>
      <c r="AZ84" s="138"/>
      <c r="BA84" s="74"/>
      <c r="BB84" s="74"/>
      <c r="BC84" s="74"/>
      <c r="BD84" s="138"/>
      <c r="BE84" s="74"/>
      <c r="BF84" s="74"/>
      <c r="BG84" s="74"/>
      <c r="BH84" s="138"/>
      <c r="BI84" s="74"/>
      <c r="BJ84" s="138"/>
      <c r="BK84" s="138"/>
      <c r="BL84" s="138"/>
      <c r="BM84" s="138"/>
      <c r="BN84" s="138"/>
      <c r="BO84" s="138"/>
      <c r="BP84" s="138"/>
      <c r="BQ84" s="138"/>
      <c r="BR84" s="138"/>
      <c r="BS84" s="138"/>
      <c r="BT84" s="138"/>
    </row>
    <row r="85" spans="1:72" ht="13.2" x14ac:dyDescent="0.25">
      <c r="A85" s="70" t="s">
        <v>85</v>
      </c>
      <c r="B85" s="141">
        <v>1.320247149018192</v>
      </c>
      <c r="C85" s="131">
        <f t="shared" si="48"/>
        <v>1.743052534490664</v>
      </c>
      <c r="D85" s="142">
        <f t="shared" si="49"/>
        <v>1.4520254698662835E-3</v>
      </c>
      <c r="E85" s="140">
        <v>6.5293120710059179E-3</v>
      </c>
      <c r="F85" s="124">
        <f t="shared" si="50"/>
        <v>5.0772866011396349E-3</v>
      </c>
      <c r="G85" s="28"/>
      <c r="H85" s="26"/>
      <c r="I85" s="28"/>
      <c r="J85" s="28"/>
      <c r="K85" s="28"/>
      <c r="L85" s="26"/>
      <c r="M85" s="28"/>
      <c r="N85" s="28"/>
      <c r="O85" s="28"/>
      <c r="P85" s="138"/>
      <c r="Q85" s="74"/>
      <c r="R85" s="74"/>
      <c r="S85" s="74"/>
      <c r="T85" s="138"/>
      <c r="U85" s="74"/>
      <c r="V85" s="74"/>
      <c r="W85" s="74"/>
      <c r="X85" s="138"/>
      <c r="Y85" s="74"/>
      <c r="Z85" s="74"/>
      <c r="AA85" s="74"/>
      <c r="AB85" s="138"/>
      <c r="AC85" s="74"/>
      <c r="AD85" s="74"/>
      <c r="AE85" s="74"/>
      <c r="AF85" s="138"/>
      <c r="AG85" s="74"/>
      <c r="AH85" s="74"/>
      <c r="AI85" s="74"/>
      <c r="AJ85" s="138"/>
      <c r="AK85" s="74"/>
      <c r="AL85" s="74"/>
      <c r="AM85" s="74"/>
      <c r="AN85" s="138"/>
      <c r="AO85" s="74"/>
      <c r="AP85" s="74"/>
      <c r="AQ85" s="74"/>
      <c r="AR85" s="138"/>
      <c r="AS85" s="74"/>
      <c r="AT85" s="74"/>
      <c r="AU85" s="74"/>
      <c r="AV85" s="138"/>
      <c r="AW85" s="74"/>
      <c r="AX85" s="74"/>
      <c r="AY85" s="74"/>
      <c r="AZ85" s="138"/>
      <c r="BA85" s="74"/>
      <c r="BB85" s="74"/>
      <c r="BC85" s="74"/>
      <c r="BD85" s="138"/>
      <c r="BE85" s="74"/>
      <c r="BF85" s="74"/>
      <c r="BG85" s="74"/>
      <c r="BH85" s="138"/>
      <c r="BI85" s="74"/>
      <c r="BJ85" s="138"/>
      <c r="BK85" s="138"/>
      <c r="BL85" s="138"/>
      <c r="BM85" s="138"/>
      <c r="BN85" s="138"/>
      <c r="BO85" s="138"/>
      <c r="BP85" s="138"/>
      <c r="BQ85" s="138"/>
      <c r="BR85" s="138"/>
      <c r="BS85" s="138"/>
      <c r="BT85" s="138"/>
    </row>
    <row r="86" spans="1:72" ht="13.2" x14ac:dyDescent="0.25">
      <c r="A86" s="70" t="s">
        <v>86</v>
      </c>
      <c r="B86" s="141">
        <v>1.7660073213343532</v>
      </c>
      <c r="C86" s="131">
        <f t="shared" si="48"/>
        <v>3.1187818590065377</v>
      </c>
      <c r="D86" s="142">
        <f t="shared" si="49"/>
        <v>2.5980574908820481E-3</v>
      </c>
      <c r="E86" s="140">
        <v>9.4512669230769238E-3</v>
      </c>
      <c r="F86" s="124">
        <f t="shared" si="50"/>
        <v>6.8532094321948761E-3</v>
      </c>
      <c r="G86" s="28"/>
      <c r="H86" s="26"/>
      <c r="I86" s="28"/>
      <c r="J86" s="28"/>
      <c r="K86" s="28"/>
      <c r="L86" s="26"/>
      <c r="M86" s="28"/>
      <c r="N86" s="28"/>
      <c r="O86" s="28"/>
      <c r="P86" s="138"/>
      <c r="Q86" s="74"/>
      <c r="R86" s="74"/>
      <c r="S86" s="74"/>
      <c r="T86" s="138"/>
      <c r="U86" s="74"/>
      <c r="V86" s="74"/>
      <c r="W86" s="74"/>
      <c r="X86" s="138"/>
      <c r="Y86" s="74"/>
      <c r="Z86" s="74"/>
      <c r="AA86" s="74"/>
      <c r="AB86" s="138"/>
      <c r="AC86" s="74"/>
      <c r="AD86" s="74"/>
      <c r="AE86" s="74"/>
      <c r="AF86" s="138"/>
      <c r="AG86" s="74"/>
      <c r="AH86" s="74"/>
      <c r="AI86" s="74"/>
      <c r="AJ86" s="138"/>
      <c r="AK86" s="74"/>
      <c r="AL86" s="74"/>
      <c r="AM86" s="74"/>
      <c r="AN86" s="138"/>
      <c r="AO86" s="74"/>
      <c r="AP86" s="74"/>
      <c r="AQ86" s="74"/>
      <c r="AR86" s="138"/>
      <c r="AS86" s="74"/>
      <c r="AT86" s="74"/>
      <c r="AU86" s="74"/>
      <c r="AV86" s="138"/>
      <c r="AW86" s="74"/>
      <c r="AX86" s="74"/>
      <c r="AY86" s="74"/>
      <c r="AZ86" s="138"/>
      <c r="BA86" s="74"/>
      <c r="BB86" s="74"/>
      <c r="BC86" s="74"/>
      <c r="BD86" s="138"/>
      <c r="BE86" s="74"/>
      <c r="BF86" s="74"/>
      <c r="BG86" s="74"/>
      <c r="BH86" s="138"/>
      <c r="BI86" s="74"/>
      <c r="BJ86" s="138"/>
      <c r="BK86" s="138"/>
      <c r="BL86" s="138"/>
      <c r="BM86" s="138"/>
      <c r="BN86" s="138"/>
      <c r="BO86" s="138"/>
      <c r="BP86" s="138"/>
      <c r="BQ86" s="138"/>
      <c r="BR86" s="138"/>
      <c r="BS86" s="138"/>
      <c r="BT86" s="138"/>
    </row>
    <row r="87" spans="1:72" ht="13.2" x14ac:dyDescent="0.25">
      <c r="A87" s="70" t="s">
        <v>87</v>
      </c>
      <c r="B87" s="141">
        <v>0.73485869182575048</v>
      </c>
      <c r="C87" s="131">
        <f t="shared" si="48"/>
        <v>0.5400172969518533</v>
      </c>
      <c r="D87" s="142">
        <f t="shared" si="49"/>
        <v>4.4985383620210962E-4</v>
      </c>
      <c r="E87" s="140">
        <v>8.9065261538461542E-3</v>
      </c>
      <c r="F87" s="124">
        <f t="shared" si="50"/>
        <v>8.4566723176440449E-3</v>
      </c>
      <c r="G87" s="28"/>
      <c r="H87" s="26"/>
      <c r="I87" s="28"/>
      <c r="J87" s="28"/>
      <c r="K87" s="28"/>
      <c r="L87" s="26"/>
      <c r="M87" s="28"/>
      <c r="N87" s="28"/>
      <c r="O87" s="28"/>
      <c r="P87" s="138"/>
      <c r="Q87" s="74"/>
      <c r="R87" s="74"/>
      <c r="S87" s="74"/>
      <c r="T87" s="138"/>
      <c r="U87" s="74"/>
      <c r="V87" s="74"/>
      <c r="W87" s="74"/>
      <c r="X87" s="138"/>
      <c r="Y87" s="74"/>
      <c r="Z87" s="74"/>
      <c r="AA87" s="74"/>
      <c r="AB87" s="138"/>
      <c r="AC87" s="74"/>
      <c r="AD87" s="74"/>
      <c r="AE87" s="74"/>
      <c r="AF87" s="138"/>
      <c r="AG87" s="74"/>
      <c r="AH87" s="74"/>
      <c r="AI87" s="74"/>
      <c r="AJ87" s="138"/>
      <c r="AK87" s="74"/>
      <c r="AL87" s="74"/>
      <c r="AM87" s="74"/>
      <c r="AN87" s="138"/>
      <c r="AO87" s="74"/>
      <c r="AP87" s="74"/>
      <c r="AQ87" s="74"/>
      <c r="AR87" s="138"/>
      <c r="AS87" s="74"/>
      <c r="AT87" s="74"/>
      <c r="AU87" s="74"/>
      <c r="AV87" s="138"/>
      <c r="AW87" s="74"/>
      <c r="AX87" s="74"/>
      <c r="AY87" s="74"/>
      <c r="AZ87" s="138"/>
      <c r="BA87" s="74"/>
      <c r="BB87" s="74"/>
      <c r="BC87" s="74"/>
      <c r="BD87" s="138"/>
      <c r="BE87" s="74"/>
      <c r="BF87" s="74"/>
      <c r="BG87" s="74"/>
      <c r="BH87" s="138"/>
      <c r="BI87" s="74"/>
      <c r="BJ87" s="138"/>
      <c r="BK87" s="138"/>
      <c r="BL87" s="138"/>
      <c r="BM87" s="138"/>
      <c r="BN87" s="138"/>
      <c r="BO87" s="138"/>
      <c r="BP87" s="138"/>
      <c r="BQ87" s="138"/>
      <c r="BR87" s="138"/>
      <c r="BS87" s="138"/>
      <c r="BT87" s="138"/>
    </row>
    <row r="88" spans="1:72" ht="13.2" x14ac:dyDescent="0.25">
      <c r="A88" s="70" t="s">
        <v>88</v>
      </c>
      <c r="B88" s="141">
        <v>1.1192500438372173</v>
      </c>
      <c r="C88" s="131">
        <f t="shared" si="48"/>
        <v>1.2527206606296128</v>
      </c>
      <c r="D88" s="142">
        <f t="shared" si="49"/>
        <v>1.0435613785980571E-3</v>
      </c>
      <c r="E88" s="140">
        <v>2.4522730905780612E-3</v>
      </c>
      <c r="F88" s="124">
        <f t="shared" si="50"/>
        <v>1.408711711980004E-3</v>
      </c>
      <c r="G88" s="28"/>
      <c r="H88" s="26"/>
      <c r="I88" s="28"/>
      <c r="J88" s="28"/>
      <c r="K88" s="28"/>
      <c r="L88" s="26"/>
      <c r="M88" s="28"/>
      <c r="N88" s="28"/>
      <c r="O88" s="28"/>
      <c r="P88" s="138"/>
      <c r="Q88" s="74"/>
      <c r="R88" s="74"/>
      <c r="S88" s="74"/>
      <c r="T88" s="138"/>
      <c r="U88" s="74"/>
      <c r="V88" s="74"/>
      <c r="W88" s="74"/>
      <c r="X88" s="138"/>
      <c r="Y88" s="74"/>
      <c r="Z88" s="74"/>
      <c r="AA88" s="74"/>
      <c r="AB88" s="138"/>
      <c r="AC88" s="74"/>
      <c r="AD88" s="74"/>
      <c r="AE88" s="74"/>
      <c r="AF88" s="138"/>
      <c r="AG88" s="74"/>
      <c r="AH88" s="74"/>
      <c r="AI88" s="74"/>
      <c r="AJ88" s="138"/>
      <c r="AK88" s="74"/>
      <c r="AL88" s="74"/>
      <c r="AM88" s="74"/>
      <c r="AN88" s="138"/>
      <c r="AO88" s="74"/>
      <c r="AP88" s="74"/>
      <c r="AQ88" s="74"/>
      <c r="AR88" s="138"/>
      <c r="AS88" s="74"/>
      <c r="AT88" s="74"/>
      <c r="AU88" s="74"/>
      <c r="AV88" s="138"/>
      <c r="AW88" s="74"/>
      <c r="AX88" s="74"/>
      <c r="AY88" s="74"/>
      <c r="AZ88" s="138"/>
      <c r="BA88" s="74"/>
      <c r="BB88" s="74"/>
      <c r="BC88" s="74"/>
      <c r="BD88" s="138"/>
      <c r="BE88" s="74"/>
      <c r="BF88" s="74"/>
      <c r="BG88" s="74"/>
      <c r="BH88" s="138"/>
      <c r="BI88" s="74"/>
      <c r="BJ88" s="138"/>
      <c r="BK88" s="138"/>
      <c r="BL88" s="138"/>
      <c r="BM88" s="138"/>
      <c r="BN88" s="138"/>
      <c r="BO88" s="138"/>
      <c r="BP88" s="138"/>
      <c r="BQ88" s="138"/>
      <c r="BR88" s="138"/>
      <c r="BS88" s="138"/>
      <c r="BT88" s="138"/>
    </row>
    <row r="89" spans="1:72" ht="13.2" x14ac:dyDescent="0.25">
      <c r="A89" s="70" t="s">
        <v>89</v>
      </c>
      <c r="B89" s="141">
        <v>1.5586919306583629</v>
      </c>
      <c r="C89" s="131">
        <f t="shared" si="48"/>
        <v>2.4295205346994946</v>
      </c>
      <c r="D89" s="142">
        <f t="shared" si="49"/>
        <v>2.0238780106404835E-3</v>
      </c>
      <c r="E89" s="140">
        <v>3.746161734182977E-3</v>
      </c>
      <c r="F89" s="124">
        <f t="shared" si="50"/>
        <v>1.7222837235424935E-3</v>
      </c>
      <c r="G89" s="28"/>
      <c r="H89" s="26"/>
      <c r="I89" s="28"/>
      <c r="J89" s="28"/>
      <c r="K89" s="28"/>
      <c r="L89" s="26"/>
      <c r="M89" s="28"/>
      <c r="N89" s="28"/>
      <c r="O89" s="28"/>
      <c r="P89" s="138"/>
      <c r="Q89" s="74"/>
      <c r="R89" s="74"/>
      <c r="S89" s="74"/>
      <c r="T89" s="138"/>
      <c r="U89" s="74"/>
      <c r="V89" s="74"/>
      <c r="W89" s="74"/>
      <c r="X89" s="138"/>
      <c r="Y89" s="74"/>
      <c r="Z89" s="74"/>
      <c r="AA89" s="74"/>
      <c r="AB89" s="138"/>
      <c r="AC89" s="74"/>
      <c r="AD89" s="74"/>
      <c r="AE89" s="74"/>
      <c r="AF89" s="138"/>
      <c r="AG89" s="74"/>
      <c r="AH89" s="74"/>
      <c r="AI89" s="74"/>
      <c r="AJ89" s="138"/>
      <c r="AK89" s="74"/>
      <c r="AL89" s="74"/>
      <c r="AM89" s="74"/>
      <c r="AN89" s="138"/>
      <c r="AO89" s="74"/>
      <c r="AP89" s="74"/>
      <c r="AQ89" s="74"/>
      <c r="AR89" s="138"/>
      <c r="AS89" s="74"/>
      <c r="AT89" s="74"/>
      <c r="AU89" s="74"/>
      <c r="AV89" s="138"/>
      <c r="AW89" s="74"/>
      <c r="AX89" s="74"/>
      <c r="AY89" s="74"/>
      <c r="AZ89" s="138"/>
      <c r="BA89" s="74"/>
      <c r="BB89" s="74"/>
      <c r="BC89" s="74"/>
      <c r="BD89" s="138"/>
      <c r="BE89" s="74"/>
      <c r="BF89" s="74"/>
      <c r="BG89" s="74"/>
      <c r="BH89" s="138"/>
      <c r="BI89" s="74"/>
      <c r="BJ89" s="138"/>
      <c r="BK89" s="138"/>
      <c r="BL89" s="138"/>
      <c r="BM89" s="138"/>
      <c r="BN89" s="138"/>
      <c r="BO89" s="138"/>
      <c r="BP89" s="138"/>
      <c r="BQ89" s="138"/>
      <c r="BR89" s="138"/>
      <c r="BS89" s="138"/>
      <c r="BT89" s="138"/>
    </row>
    <row r="90" spans="1:72" ht="13.2" x14ac:dyDescent="0.25">
      <c r="A90" s="70" t="s">
        <v>90</v>
      </c>
      <c r="B90" s="141">
        <v>1.168870648376211</v>
      </c>
      <c r="C90" s="131">
        <f t="shared" si="48"/>
        <v>1.366258592635424</v>
      </c>
      <c r="D90" s="142">
        <f t="shared" si="49"/>
        <v>1.1381425606371617E-3</v>
      </c>
      <c r="E90" s="140">
        <v>5.1566299408284015E-3</v>
      </c>
      <c r="F90" s="124">
        <f t="shared" si="50"/>
        <v>4.0184873801912399E-3</v>
      </c>
      <c r="G90" s="28"/>
      <c r="H90" s="26"/>
      <c r="I90" s="28"/>
      <c r="J90" s="28"/>
      <c r="K90" s="28"/>
      <c r="L90" s="26"/>
      <c r="M90" s="28"/>
      <c r="N90" s="28"/>
      <c r="O90" s="28"/>
      <c r="P90" s="138"/>
      <c r="Q90" s="74"/>
      <c r="R90" s="74"/>
      <c r="S90" s="74"/>
      <c r="T90" s="138"/>
      <c r="U90" s="74"/>
      <c r="V90" s="74"/>
      <c r="W90" s="74"/>
      <c r="X90" s="138"/>
      <c r="Y90" s="74"/>
      <c r="Z90" s="74"/>
      <c r="AA90" s="74"/>
      <c r="AB90" s="138"/>
      <c r="AC90" s="74"/>
      <c r="AD90" s="74"/>
      <c r="AE90" s="74"/>
      <c r="AF90" s="138"/>
      <c r="AG90" s="74"/>
      <c r="AH90" s="74"/>
      <c r="AI90" s="74"/>
      <c r="AJ90" s="138"/>
      <c r="AK90" s="74"/>
      <c r="AL90" s="74"/>
      <c r="AM90" s="74"/>
      <c r="AN90" s="138"/>
      <c r="AO90" s="74"/>
      <c r="AP90" s="74"/>
      <c r="AQ90" s="74"/>
      <c r="AR90" s="138"/>
      <c r="AS90" s="74"/>
      <c r="AT90" s="74"/>
      <c r="AU90" s="74"/>
      <c r="AV90" s="138"/>
      <c r="AW90" s="74"/>
      <c r="AX90" s="74"/>
      <c r="AY90" s="74"/>
      <c r="AZ90" s="138"/>
      <c r="BA90" s="74"/>
      <c r="BB90" s="74"/>
      <c r="BC90" s="74"/>
      <c r="BD90" s="138"/>
      <c r="BE90" s="74"/>
      <c r="BF90" s="74"/>
      <c r="BG90" s="74"/>
      <c r="BH90" s="138"/>
      <c r="BI90" s="74"/>
      <c r="BJ90" s="138"/>
      <c r="BK90" s="138"/>
      <c r="BL90" s="138"/>
      <c r="BM90" s="138"/>
      <c r="BN90" s="138"/>
      <c r="BO90" s="138"/>
      <c r="BP90" s="138"/>
      <c r="BQ90" s="138"/>
      <c r="BR90" s="138"/>
      <c r="BS90" s="138"/>
      <c r="BT90" s="138"/>
    </row>
    <row r="91" spans="1:72" ht="13.2" x14ac:dyDescent="0.25">
      <c r="A91" s="70" t="s">
        <v>96</v>
      </c>
      <c r="B91" s="141">
        <v>0.89444853742367325</v>
      </c>
      <c r="C91" s="131">
        <f t="shared" si="48"/>
        <v>0.80003818609934818</v>
      </c>
      <c r="D91" s="142">
        <f t="shared" si="49"/>
        <v>6.6646059145964158E-4</v>
      </c>
      <c r="E91" s="140">
        <v>2.7862024852071004E-3</v>
      </c>
      <c r="F91" s="124">
        <f t="shared" si="50"/>
        <v>2.1197418937474589E-3</v>
      </c>
      <c r="G91" s="28"/>
      <c r="H91" s="26"/>
      <c r="I91" s="28"/>
      <c r="J91" s="28"/>
      <c r="K91" s="28"/>
      <c r="L91" s="26"/>
      <c r="M91" s="28"/>
      <c r="N91" s="28"/>
      <c r="O91" s="28"/>
      <c r="P91" s="138"/>
      <c r="Q91" s="74"/>
      <c r="R91" s="74"/>
      <c r="S91" s="74"/>
      <c r="T91" s="138"/>
      <c r="U91" s="74"/>
      <c r="V91" s="74"/>
      <c r="W91" s="74"/>
      <c r="X91" s="138"/>
      <c r="Y91" s="74"/>
      <c r="Z91" s="74"/>
      <c r="AA91" s="74"/>
      <c r="AB91" s="138"/>
      <c r="AC91" s="74"/>
      <c r="AD91" s="74"/>
      <c r="AE91" s="74"/>
      <c r="AF91" s="138"/>
      <c r="AG91" s="74"/>
      <c r="AH91" s="74"/>
      <c r="AI91" s="74"/>
      <c r="AJ91" s="138"/>
      <c r="AK91" s="74"/>
      <c r="AL91" s="74"/>
      <c r="AM91" s="74"/>
      <c r="AN91" s="138"/>
      <c r="AO91" s="74"/>
      <c r="AP91" s="74"/>
      <c r="AQ91" s="74"/>
      <c r="AR91" s="138"/>
      <c r="AS91" s="74"/>
      <c r="AT91" s="74"/>
      <c r="AU91" s="74"/>
      <c r="AV91" s="138"/>
      <c r="AW91" s="74"/>
      <c r="AX91" s="74"/>
      <c r="AY91" s="74"/>
      <c r="AZ91" s="138"/>
      <c r="BA91" s="74"/>
      <c r="BB91" s="74"/>
      <c r="BC91" s="74"/>
      <c r="BD91" s="138"/>
      <c r="BE91" s="74"/>
      <c r="BF91" s="74"/>
      <c r="BG91" s="74"/>
      <c r="BH91" s="138"/>
      <c r="BI91" s="74"/>
      <c r="BJ91" s="138"/>
      <c r="BK91" s="138"/>
      <c r="BL91" s="138"/>
      <c r="BM91" s="138"/>
      <c r="BN91" s="138"/>
      <c r="BO91" s="138"/>
      <c r="BP91" s="138"/>
      <c r="BQ91" s="138"/>
      <c r="BR91" s="138"/>
      <c r="BS91" s="138"/>
      <c r="BT91" s="138"/>
    </row>
    <row r="92" spans="1:72" ht="13.2" x14ac:dyDescent="0.25">
      <c r="A92" s="70" t="s">
        <v>95</v>
      </c>
      <c r="B92" s="141">
        <v>1.3305556321114724</v>
      </c>
      <c r="C92" s="131">
        <f t="shared" si="48"/>
        <v>1.7703782901435601</v>
      </c>
      <c r="D92" s="142">
        <f t="shared" si="49"/>
        <v>1.4747888074055861E-3</v>
      </c>
      <c r="E92" s="140">
        <v>5.797121775147929E-3</v>
      </c>
      <c r="F92" s="124">
        <f t="shared" si="50"/>
        <v>4.3223329677423428E-3</v>
      </c>
      <c r="G92" s="28"/>
      <c r="H92" s="26"/>
      <c r="I92" s="4"/>
      <c r="J92" s="4"/>
      <c r="K92" s="4"/>
      <c r="L92" s="5"/>
      <c r="M92" s="4"/>
      <c r="N92" s="4"/>
      <c r="O92" s="4"/>
      <c r="P92" s="1"/>
      <c r="Q92" s="2"/>
      <c r="R92" s="2"/>
      <c r="S92" s="2"/>
      <c r="T92" s="1"/>
      <c r="U92" s="2"/>
      <c r="V92" s="2"/>
      <c r="W92" s="2"/>
      <c r="X92" s="1"/>
      <c r="Y92" s="2"/>
      <c r="Z92" s="2"/>
      <c r="AA92" s="2"/>
      <c r="AB92" s="1"/>
      <c r="AC92" s="2"/>
      <c r="AD92" s="2"/>
      <c r="AE92" s="2"/>
      <c r="AF92" s="1"/>
      <c r="AG92" s="2"/>
      <c r="AH92" s="2"/>
      <c r="AI92" s="2"/>
      <c r="AJ92" s="1"/>
      <c r="AK92" s="2"/>
      <c r="AL92" s="2"/>
      <c r="AM92" s="2"/>
      <c r="AN92" s="1"/>
      <c r="AO92" s="2"/>
      <c r="AP92" s="2"/>
      <c r="AQ92" s="2"/>
      <c r="AR92" s="1"/>
      <c r="AS92" s="2"/>
      <c r="AT92" s="2"/>
      <c r="AU92" s="2"/>
      <c r="AV92" s="1"/>
      <c r="AW92" s="2"/>
      <c r="AX92" s="2"/>
      <c r="AY92" s="2"/>
      <c r="AZ92" s="1"/>
      <c r="BA92" s="2"/>
      <c r="BB92" s="2"/>
      <c r="BC92" s="2"/>
      <c r="BD92" s="1"/>
      <c r="BE92" s="2"/>
      <c r="BF92" s="2"/>
      <c r="BG92" s="2"/>
      <c r="BH92" s="1"/>
      <c r="BI92" s="2"/>
    </row>
    <row r="93" spans="1:72" ht="13.2" x14ac:dyDescent="0.25">
      <c r="A93" s="70" t="s">
        <v>94</v>
      </c>
      <c r="B93" s="141">
        <v>0.87139264178621478</v>
      </c>
      <c r="C93" s="131">
        <f t="shared" si="48"/>
        <v>0.75932513615915842</v>
      </c>
      <c r="D93" s="142">
        <f t="shared" si="49"/>
        <v>6.325451561532882E-4</v>
      </c>
      <c r="E93" s="140">
        <v>7.0796738461538482E-3</v>
      </c>
      <c r="F93" s="124">
        <f t="shared" si="50"/>
        <v>6.44712869000056E-3</v>
      </c>
      <c r="G93" s="28"/>
      <c r="H93" s="26"/>
      <c r="I93" s="4"/>
      <c r="J93" s="4"/>
      <c r="K93" s="4"/>
      <c r="L93" s="5"/>
      <c r="M93" s="4"/>
      <c r="N93" s="4"/>
      <c r="O93" s="4"/>
      <c r="P93" s="1"/>
      <c r="Q93" s="2"/>
      <c r="R93" s="2"/>
      <c r="S93" s="2"/>
      <c r="T93" s="1"/>
      <c r="U93" s="2"/>
      <c r="V93" s="2"/>
      <c r="W93" s="2"/>
      <c r="X93" s="1"/>
      <c r="Y93" s="2"/>
      <c r="Z93" s="2"/>
      <c r="AA93" s="2"/>
      <c r="AB93" s="1"/>
      <c r="AC93" s="2"/>
      <c r="AD93" s="2"/>
      <c r="AE93" s="2"/>
      <c r="AF93" s="1"/>
      <c r="AG93" s="2"/>
      <c r="AH93" s="2"/>
      <c r="AI93" s="2"/>
      <c r="AJ93" s="1"/>
      <c r="AK93" s="2"/>
      <c r="AL93" s="2"/>
      <c r="AM93" s="2"/>
      <c r="AN93" s="1"/>
      <c r="AO93" s="2"/>
      <c r="AP93" s="2"/>
      <c r="AQ93" s="2"/>
      <c r="AR93" s="1"/>
      <c r="AS93" s="2"/>
      <c r="AT93" s="2"/>
      <c r="AU93" s="2"/>
      <c r="AV93" s="1"/>
      <c r="AW93" s="2"/>
      <c r="AX93" s="2"/>
      <c r="AY93" s="2"/>
      <c r="AZ93" s="1"/>
      <c r="BA93" s="2"/>
      <c r="BB93" s="2"/>
      <c r="BC93" s="2"/>
      <c r="BD93" s="1"/>
      <c r="BE93" s="2"/>
      <c r="BF93" s="2"/>
      <c r="BG93" s="2"/>
      <c r="BH93" s="1"/>
      <c r="BI93" s="2"/>
    </row>
    <row r="94" spans="1:72" ht="13.2" x14ac:dyDescent="0.25">
      <c r="A94" s="70" t="s">
        <v>93</v>
      </c>
      <c r="B94" s="141">
        <v>1.1890639841094541</v>
      </c>
      <c r="C94" s="131">
        <f t="shared" si="48"/>
        <v>1.4138731583062483</v>
      </c>
      <c r="D94" s="142">
        <f t="shared" si="49"/>
        <v>1.1778072068383504E-3</v>
      </c>
      <c r="E94" s="140">
        <v>3.7788507692307696E-3</v>
      </c>
      <c r="F94" s="124">
        <f t="shared" si="50"/>
        <v>2.601043562392419E-3</v>
      </c>
      <c r="G94" s="28"/>
      <c r="H94" s="26"/>
      <c r="I94" s="4"/>
      <c r="J94" s="4"/>
      <c r="K94" s="4"/>
      <c r="L94" s="5"/>
      <c r="M94" s="4"/>
      <c r="N94" s="4"/>
      <c r="O94" s="4"/>
      <c r="P94" s="1"/>
      <c r="Q94" s="2"/>
      <c r="R94" s="2"/>
      <c r="S94" s="2"/>
      <c r="T94" s="1"/>
      <c r="U94" s="2"/>
      <c r="V94" s="2"/>
      <c r="W94" s="2"/>
      <c r="X94" s="1"/>
      <c r="Y94" s="2"/>
      <c r="Z94" s="2"/>
      <c r="AA94" s="2"/>
      <c r="AB94" s="1"/>
      <c r="AC94" s="2"/>
      <c r="AD94" s="2"/>
      <c r="AE94" s="2"/>
      <c r="AF94" s="1"/>
      <c r="AG94" s="2"/>
      <c r="AH94" s="2"/>
      <c r="AI94" s="2"/>
      <c r="AJ94" s="1"/>
      <c r="AK94" s="2"/>
      <c r="AL94" s="2"/>
      <c r="AM94" s="2"/>
      <c r="AN94" s="1"/>
      <c r="AO94" s="2"/>
      <c r="AP94" s="2"/>
      <c r="AQ94" s="2"/>
      <c r="AR94" s="1"/>
      <c r="AS94" s="2"/>
      <c r="AT94" s="2"/>
      <c r="AU94" s="2"/>
      <c r="AV94" s="1"/>
      <c r="AW94" s="2"/>
      <c r="AX94" s="2"/>
      <c r="AY94" s="2"/>
      <c r="AZ94" s="1"/>
      <c r="BA94" s="2"/>
      <c r="BB94" s="2"/>
      <c r="BC94" s="2"/>
      <c r="BD94" s="1"/>
      <c r="BE94" s="2"/>
      <c r="BF94" s="2"/>
      <c r="BG94" s="2"/>
      <c r="BH94" s="1"/>
      <c r="BI94" s="2"/>
    </row>
    <row r="95" spans="1:72" ht="13.2" x14ac:dyDescent="0.25">
      <c r="A95" s="70" t="s">
        <v>92</v>
      </c>
      <c r="B95" s="141">
        <v>1.4774862859940274</v>
      </c>
      <c r="C95" s="131">
        <f t="shared" si="48"/>
        <v>2.1829657253004249</v>
      </c>
      <c r="D95" s="142">
        <f t="shared" si="49"/>
        <v>1.8184889842735371E-3</v>
      </c>
      <c r="E95" s="140">
        <v>6.2689600000000022E-3</v>
      </c>
      <c r="F95" s="124">
        <f t="shared" si="50"/>
        <v>4.4504710157264654E-3</v>
      </c>
      <c r="G95" s="28"/>
      <c r="H95" s="26"/>
      <c r="I95" s="4"/>
      <c r="J95" s="4"/>
      <c r="K95" s="4"/>
      <c r="L95" s="5"/>
      <c r="M95" s="4"/>
      <c r="N95" s="4"/>
      <c r="O95" s="4"/>
      <c r="P95" s="1"/>
      <c r="Q95" s="2"/>
      <c r="R95" s="2"/>
      <c r="S95" s="2"/>
      <c r="T95" s="1"/>
      <c r="U95" s="2"/>
      <c r="V95" s="2"/>
      <c r="W95" s="2"/>
      <c r="X95" s="1"/>
      <c r="Y95" s="2"/>
      <c r="Z95" s="2"/>
      <c r="AA95" s="2"/>
      <c r="AB95" s="1"/>
      <c r="AC95" s="2"/>
      <c r="AD95" s="2"/>
      <c r="AE95" s="2"/>
      <c r="AF95" s="1"/>
      <c r="AG95" s="2"/>
      <c r="AH95" s="2"/>
      <c r="AI95" s="2"/>
      <c r="AJ95" s="1"/>
      <c r="AK95" s="2"/>
      <c r="AL95" s="2"/>
      <c r="AM95" s="2"/>
      <c r="AN95" s="1"/>
      <c r="AO95" s="2"/>
      <c r="AP95" s="2"/>
      <c r="AQ95" s="2"/>
      <c r="AR95" s="1"/>
      <c r="AS95" s="2"/>
      <c r="AT95" s="2"/>
      <c r="AU95" s="2"/>
      <c r="AV95" s="1"/>
      <c r="AW95" s="2"/>
      <c r="AX95" s="2"/>
      <c r="AY95" s="2"/>
      <c r="AZ95" s="1"/>
      <c r="BA95" s="2"/>
      <c r="BB95" s="2"/>
      <c r="BC95" s="2"/>
      <c r="BD95" s="1"/>
      <c r="BE95" s="2"/>
      <c r="BF95" s="2"/>
      <c r="BG95" s="2"/>
      <c r="BH95" s="1"/>
      <c r="BI95" s="2"/>
    </row>
    <row r="96" spans="1:72" ht="13.2" x14ac:dyDescent="0.25">
      <c r="A96" s="70" t="s">
        <v>91</v>
      </c>
      <c r="B96" s="141">
        <v>1.7932977457234205</v>
      </c>
      <c r="C96" s="131">
        <f t="shared" si="48"/>
        <v>3.2159168048167017</v>
      </c>
      <c r="D96" s="142">
        <f t="shared" si="49"/>
        <v>2.678974395300912E-3</v>
      </c>
      <c r="E96" s="140">
        <v>4.4648200000000004E-3</v>
      </c>
      <c r="F96" s="124">
        <f t="shared" si="50"/>
        <v>1.7858456046990884E-3</v>
      </c>
      <c r="G96" s="28"/>
      <c r="H96" s="26"/>
      <c r="I96" s="4"/>
      <c r="J96" s="4"/>
      <c r="K96" s="4"/>
      <c r="L96" s="5"/>
      <c r="M96" s="4"/>
      <c r="N96" s="4"/>
      <c r="O96" s="4"/>
      <c r="P96" s="1"/>
      <c r="Q96" s="2"/>
      <c r="R96" s="2"/>
      <c r="S96" s="2"/>
      <c r="T96" s="1"/>
      <c r="U96" s="2"/>
      <c r="V96" s="2"/>
      <c r="W96" s="2"/>
      <c r="X96" s="1"/>
      <c r="Y96" s="2"/>
      <c r="Z96" s="2"/>
      <c r="AA96" s="2"/>
      <c r="AB96" s="1"/>
      <c r="AC96" s="2"/>
      <c r="AD96" s="2"/>
      <c r="AE96" s="2"/>
      <c r="AF96" s="1"/>
      <c r="AG96" s="2"/>
      <c r="AH96" s="2"/>
      <c r="AI96" s="2"/>
      <c r="AJ96" s="1"/>
      <c r="AK96" s="2"/>
      <c r="AL96" s="2"/>
      <c r="AM96" s="2"/>
      <c r="AN96" s="1"/>
      <c r="AO96" s="2"/>
      <c r="AP96" s="2"/>
      <c r="AQ96" s="2"/>
      <c r="AR96" s="1"/>
      <c r="AS96" s="2"/>
      <c r="AT96" s="2"/>
      <c r="AU96" s="2"/>
      <c r="AV96" s="1"/>
      <c r="AW96" s="2"/>
      <c r="AX96" s="2"/>
      <c r="AY96" s="2"/>
      <c r="AZ96" s="1"/>
      <c r="BA96" s="2"/>
      <c r="BB96" s="2"/>
      <c r="BC96" s="2"/>
      <c r="BD96" s="1"/>
      <c r="BE96" s="2"/>
      <c r="BF96" s="2"/>
      <c r="BG96" s="2"/>
      <c r="BH96" s="1"/>
      <c r="BI96" s="2"/>
    </row>
    <row r="97" spans="1:61" ht="13.2" x14ac:dyDescent="0.25">
      <c r="A97" s="70">
        <v>8.3303597633136101E-4</v>
      </c>
      <c r="B97" s="126"/>
      <c r="C97" s="95"/>
      <c r="D97" s="95"/>
      <c r="E97" s="145"/>
      <c r="F97" s="74"/>
      <c r="G97" s="28"/>
      <c r="H97" s="26"/>
      <c r="I97" s="4"/>
      <c r="J97" s="4"/>
      <c r="K97" s="4"/>
      <c r="L97" s="5"/>
      <c r="M97" s="4"/>
      <c r="N97" s="4"/>
      <c r="O97" s="4"/>
      <c r="P97" s="1"/>
      <c r="Q97" s="2"/>
      <c r="R97" s="2"/>
      <c r="S97" s="2"/>
      <c r="T97" s="1"/>
      <c r="U97" s="2"/>
      <c r="V97" s="2"/>
      <c r="W97" s="2"/>
      <c r="X97" s="1"/>
      <c r="Y97" s="2"/>
      <c r="Z97" s="2"/>
      <c r="AA97" s="2"/>
      <c r="AB97" s="1"/>
      <c r="AC97" s="2"/>
      <c r="AD97" s="2"/>
      <c r="AE97" s="2"/>
      <c r="AF97" s="1"/>
      <c r="AG97" s="2"/>
      <c r="AH97" s="2"/>
      <c r="AI97" s="2"/>
      <c r="AJ97" s="1"/>
      <c r="AK97" s="2"/>
      <c r="AL97" s="2"/>
      <c r="AM97" s="2"/>
      <c r="AN97" s="1"/>
      <c r="AO97" s="2"/>
      <c r="AP97" s="2"/>
      <c r="AQ97" s="2"/>
      <c r="AR97" s="1"/>
      <c r="AS97" s="2"/>
      <c r="AT97" s="2"/>
      <c r="AU97" s="2"/>
      <c r="AV97" s="1"/>
      <c r="AW97" s="2"/>
      <c r="AX97" s="2"/>
      <c r="AY97" s="2"/>
      <c r="AZ97" s="1"/>
      <c r="BA97" s="2"/>
      <c r="BB97" s="2"/>
      <c r="BC97" s="2"/>
      <c r="BD97" s="1"/>
      <c r="BE97" s="2"/>
      <c r="BF97" s="2"/>
      <c r="BG97" s="2"/>
      <c r="BH97" s="1"/>
      <c r="BI97" s="2"/>
    </row>
    <row r="98" spans="1:61" ht="13.2" x14ac:dyDescent="0.25">
      <c r="A98" s="87"/>
      <c r="B98" s="126"/>
      <c r="C98" s="95"/>
      <c r="D98" s="95"/>
      <c r="E98" s="146"/>
      <c r="F98" s="74"/>
      <c r="G98" s="28"/>
      <c r="H98" s="26"/>
      <c r="I98" s="4"/>
      <c r="J98" s="4"/>
      <c r="K98" s="4"/>
      <c r="L98" s="5"/>
      <c r="M98" s="4"/>
      <c r="N98" s="4"/>
      <c r="O98" s="4"/>
      <c r="P98" s="1"/>
      <c r="Q98" s="2"/>
      <c r="R98" s="2"/>
      <c r="S98" s="2"/>
      <c r="T98" s="1"/>
      <c r="U98" s="2"/>
      <c r="V98" s="2"/>
      <c r="W98" s="2"/>
      <c r="X98" s="1"/>
      <c r="Y98" s="2"/>
      <c r="Z98" s="2"/>
      <c r="AA98" s="2"/>
      <c r="AB98" s="1"/>
      <c r="AC98" s="2"/>
      <c r="AD98" s="2"/>
      <c r="AE98" s="2"/>
      <c r="AF98" s="1"/>
      <c r="AG98" s="2"/>
      <c r="AH98" s="2"/>
      <c r="AI98" s="2"/>
      <c r="AJ98" s="1"/>
      <c r="AK98" s="2"/>
      <c r="AL98" s="2"/>
      <c r="AM98" s="2"/>
      <c r="AN98" s="1"/>
      <c r="AO98" s="2"/>
      <c r="AP98" s="2"/>
      <c r="AQ98" s="2"/>
      <c r="AR98" s="1"/>
      <c r="AS98" s="2"/>
      <c r="AT98" s="2"/>
      <c r="AU98" s="2"/>
      <c r="AV98" s="1"/>
      <c r="AW98" s="2"/>
      <c r="AX98" s="2"/>
      <c r="AY98" s="2"/>
      <c r="AZ98" s="1"/>
      <c r="BA98" s="2"/>
      <c r="BB98" s="2"/>
      <c r="BC98" s="2"/>
      <c r="BD98" s="1"/>
      <c r="BE98" s="2"/>
      <c r="BF98" s="2"/>
      <c r="BG98" s="2"/>
      <c r="BH98" s="1"/>
      <c r="BI98" s="2"/>
    </row>
    <row r="99" spans="1:61" ht="13.2" x14ac:dyDescent="0.25">
      <c r="A99" s="87"/>
      <c r="B99" s="126"/>
      <c r="C99" s="95"/>
      <c r="D99" s="95"/>
      <c r="E99" s="146"/>
      <c r="F99" s="74"/>
      <c r="G99" s="28"/>
      <c r="H99" s="26"/>
      <c r="I99" s="4"/>
      <c r="J99" s="4"/>
      <c r="K99" s="4"/>
      <c r="L99" s="5"/>
      <c r="M99" s="4"/>
      <c r="N99" s="4"/>
      <c r="O99" s="4"/>
      <c r="P99" s="1"/>
      <c r="Q99" s="2"/>
      <c r="R99" s="2"/>
      <c r="S99" s="2"/>
      <c r="T99" s="1"/>
      <c r="U99" s="2"/>
      <c r="V99" s="2"/>
      <c r="W99" s="2"/>
      <c r="X99" s="1"/>
      <c r="Y99" s="2"/>
      <c r="Z99" s="2"/>
      <c r="AA99" s="2"/>
      <c r="AB99" s="1"/>
      <c r="AC99" s="2"/>
      <c r="AD99" s="2"/>
      <c r="AE99" s="2"/>
      <c r="AF99" s="1"/>
      <c r="AG99" s="2"/>
      <c r="AH99" s="2"/>
      <c r="AI99" s="2"/>
      <c r="AJ99" s="1"/>
      <c r="AK99" s="2"/>
      <c r="AL99" s="2"/>
      <c r="AM99" s="2"/>
      <c r="AN99" s="1"/>
      <c r="AO99" s="2"/>
      <c r="AP99" s="2"/>
      <c r="AQ99" s="2"/>
      <c r="AR99" s="1"/>
      <c r="AS99" s="2"/>
      <c r="AT99" s="2"/>
      <c r="AU99" s="2"/>
      <c r="AV99" s="1"/>
      <c r="AW99" s="2"/>
      <c r="AX99" s="2"/>
      <c r="AY99" s="2"/>
      <c r="AZ99" s="1"/>
      <c r="BA99" s="2"/>
      <c r="BB99" s="2"/>
      <c r="BC99" s="2"/>
      <c r="BD99" s="1"/>
      <c r="BE99" s="2"/>
      <c r="BF99" s="2"/>
      <c r="BG99" s="2"/>
      <c r="BH99" s="1"/>
      <c r="BI99" s="2"/>
    </row>
    <row r="100" spans="1:61" ht="13.2" x14ac:dyDescent="0.25">
      <c r="A100" s="13" t="s">
        <v>105</v>
      </c>
      <c r="B100" s="13" t="s">
        <v>110</v>
      </c>
      <c r="C100" s="150" t="s">
        <v>111</v>
      </c>
      <c r="D100" s="150" t="s">
        <v>112</v>
      </c>
      <c r="E100" s="152" t="s">
        <v>116</v>
      </c>
      <c r="F100" s="73"/>
      <c r="G100" s="28"/>
      <c r="H100" s="26"/>
      <c r="I100" s="4"/>
      <c r="J100" s="4"/>
      <c r="K100" s="4"/>
      <c r="L100" s="5"/>
      <c r="M100" s="4"/>
      <c r="N100" s="4"/>
      <c r="O100" s="4"/>
      <c r="P100" s="1"/>
      <c r="Q100" s="2"/>
      <c r="R100" s="2"/>
      <c r="S100" s="2"/>
      <c r="T100" s="1"/>
      <c r="U100" s="2"/>
      <c r="V100" s="2"/>
      <c r="W100" s="2"/>
      <c r="X100" s="1"/>
      <c r="Y100" s="2"/>
      <c r="Z100" s="2"/>
      <c r="AA100" s="2"/>
      <c r="AB100" s="1"/>
      <c r="AC100" s="2"/>
      <c r="AD100" s="2"/>
      <c r="AE100" s="2"/>
      <c r="AF100" s="1"/>
      <c r="AG100" s="2"/>
      <c r="AH100" s="2"/>
      <c r="AI100" s="2"/>
      <c r="AJ100" s="1"/>
      <c r="AK100" s="2"/>
      <c r="AL100" s="2"/>
      <c r="AM100" s="2"/>
      <c r="AN100" s="1"/>
      <c r="AO100" s="2"/>
      <c r="AP100" s="2"/>
      <c r="AQ100" s="2"/>
      <c r="AR100" s="1"/>
      <c r="AS100" s="2"/>
      <c r="AT100" s="2"/>
      <c r="AU100" s="2"/>
      <c r="AV100" s="1"/>
      <c r="AW100" s="2"/>
      <c r="AX100" s="2"/>
      <c r="AY100" s="2"/>
      <c r="AZ100" s="1"/>
      <c r="BA100" s="2"/>
      <c r="BB100" s="2"/>
      <c r="BC100" s="2"/>
      <c r="BD100" s="1"/>
      <c r="BE100" s="2"/>
      <c r="BF100" s="2"/>
      <c r="BG100" s="2"/>
      <c r="BH100" s="1"/>
      <c r="BI100" s="2"/>
    </row>
    <row r="101" spans="1:61" ht="13.2" x14ac:dyDescent="0.25">
      <c r="A101" s="70" t="s">
        <v>107</v>
      </c>
      <c r="B101" s="147">
        <f>G64-M75</f>
        <v>1.6382027125734715E-2</v>
      </c>
      <c r="C101" s="96">
        <f>B83/F83</f>
        <v>831.26354721375003</v>
      </c>
      <c r="D101" s="96">
        <f>B101*C101</f>
        <v>13.617781979090113</v>
      </c>
      <c r="E101" s="148">
        <f>D101/$D$105</f>
        <v>0.53454944292675977</v>
      </c>
      <c r="F101" s="28"/>
      <c r="G101" s="28"/>
      <c r="H101" s="26"/>
      <c r="I101" s="4"/>
      <c r="J101" s="4"/>
      <c r="K101" s="4"/>
      <c r="L101" s="5"/>
      <c r="M101" s="4"/>
      <c r="N101" s="4"/>
      <c r="O101" s="4"/>
      <c r="P101" s="1"/>
      <c r="Q101" s="2"/>
      <c r="R101" s="2"/>
      <c r="S101" s="2"/>
      <c r="T101" s="1"/>
      <c r="U101" s="2"/>
      <c r="V101" s="2"/>
      <c r="W101" s="2"/>
      <c r="X101" s="1"/>
      <c r="Y101" s="2"/>
      <c r="Z101" s="2"/>
      <c r="AA101" s="2"/>
      <c r="AB101" s="1"/>
      <c r="AC101" s="2"/>
      <c r="AD101" s="2"/>
      <c r="AE101" s="2"/>
      <c r="AF101" s="1"/>
      <c r="AG101" s="2"/>
      <c r="AH101" s="2"/>
      <c r="AI101" s="2"/>
      <c r="AJ101" s="1"/>
      <c r="AK101" s="2"/>
      <c r="AL101" s="2"/>
      <c r="AM101" s="2"/>
      <c r="AN101" s="1"/>
      <c r="AO101" s="2"/>
      <c r="AP101" s="2"/>
      <c r="AQ101" s="2"/>
      <c r="AR101" s="1"/>
      <c r="AS101" s="2"/>
      <c r="AT101" s="2"/>
      <c r="AU101" s="2"/>
      <c r="AV101" s="1"/>
      <c r="AW101" s="2"/>
      <c r="AX101" s="2"/>
      <c r="AY101" s="2"/>
      <c r="AZ101" s="1"/>
      <c r="BA101" s="2"/>
      <c r="BB101" s="2"/>
      <c r="BC101" s="2"/>
      <c r="BD101" s="1"/>
      <c r="BE101" s="2"/>
      <c r="BF101" s="2"/>
      <c r="BG101" s="2"/>
      <c r="BH101" s="1"/>
      <c r="BI101" s="2"/>
    </row>
    <row r="102" spans="1:61" ht="13.2" x14ac:dyDescent="0.25">
      <c r="A102" s="70" t="s">
        <v>106</v>
      </c>
      <c r="B102" s="147">
        <f>G65-M75</f>
        <v>2.4783185124810245E-2</v>
      </c>
      <c r="C102" s="96">
        <f>B84/F84</f>
        <v>56.698081832755335</v>
      </c>
      <c r="D102" s="96">
        <f t="shared" ref="D102:D103" si="51">B102*C102</f>
        <v>1.405159058282816</v>
      </c>
      <c r="E102" s="148">
        <f t="shared" ref="E102:E104" si="52">D102/$D$105</f>
        <v>5.5157807121740766E-2</v>
      </c>
      <c r="F102" s="28"/>
      <c r="G102" s="28"/>
      <c r="H102" s="28"/>
      <c r="I102" s="4"/>
      <c r="J102" s="4"/>
      <c r="K102" s="4"/>
      <c r="L102" s="4"/>
      <c r="M102" s="4"/>
      <c r="N102" s="4"/>
      <c r="O102" s="4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1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</row>
    <row r="103" spans="1:61" ht="13.2" x14ac:dyDescent="0.25">
      <c r="A103" s="70" t="s">
        <v>108</v>
      </c>
      <c r="B103" s="147">
        <f>G72-M75</f>
        <v>2.3948237518319322E-2</v>
      </c>
      <c r="C103" s="124">
        <f>B91/F91</f>
        <v>421.9610604772223</v>
      </c>
      <c r="D103" s="96">
        <f t="shared" si="51"/>
        <v>10.105223699790423</v>
      </c>
      <c r="E103" s="148">
        <f t="shared" si="52"/>
        <v>0.39666824653732524</v>
      </c>
      <c r="F103" s="28"/>
      <c r="G103" s="28"/>
      <c r="H103" s="28"/>
      <c r="I103" s="4"/>
      <c r="J103" s="4"/>
      <c r="K103" s="4"/>
      <c r="L103" s="4"/>
      <c r="M103" s="4"/>
      <c r="N103" s="4"/>
      <c r="O103" s="4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</row>
    <row r="104" spans="1:61" ht="13.2" x14ac:dyDescent="0.25">
      <c r="A104" s="70" t="s">
        <v>109</v>
      </c>
      <c r="B104" s="147">
        <f>G74-M75</f>
        <v>2.5679799492750888E-3</v>
      </c>
      <c r="C104" s="72">
        <f>B93/F93</f>
        <v>135.15980270996252</v>
      </c>
      <c r="D104" s="96">
        <f>B104*C104</f>
        <v>0.34708766330716057</v>
      </c>
      <c r="E104" s="148">
        <f t="shared" si="52"/>
        <v>1.3624503414174222E-2</v>
      </c>
      <c r="F104" s="28"/>
      <c r="G104" s="28"/>
      <c r="H104" s="28"/>
      <c r="I104" s="4"/>
      <c r="J104" s="4"/>
      <c r="K104" s="4"/>
      <c r="L104" s="4"/>
      <c r="M104" s="4"/>
      <c r="N104" s="4"/>
      <c r="O104" s="4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</row>
    <row r="105" spans="1:61" ht="13.2" x14ac:dyDescent="0.25">
      <c r="A105" s="70" t="s">
        <v>22</v>
      </c>
      <c r="B105" s="70"/>
      <c r="C105" s="72"/>
      <c r="D105" s="12">
        <f>SUM(D101:D104)</f>
        <v>25.475252400470513</v>
      </c>
      <c r="E105" s="134">
        <f>SUM(E101:E104)</f>
        <v>1</v>
      </c>
      <c r="F105" s="28"/>
      <c r="G105" s="28"/>
      <c r="H105" s="28"/>
      <c r="I105" s="4"/>
      <c r="J105" s="4"/>
      <c r="K105" s="4"/>
      <c r="L105" s="4"/>
      <c r="M105" s="4"/>
      <c r="N105" s="4"/>
      <c r="O105" s="4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</row>
    <row r="106" spans="1:61" ht="13.2" x14ac:dyDescent="0.25">
      <c r="A106" s="87"/>
      <c r="B106" s="88"/>
      <c r="C106" s="28"/>
      <c r="D106" s="28"/>
      <c r="E106" s="28"/>
      <c r="F106" s="73"/>
      <c r="G106" s="28"/>
      <c r="H106" s="28"/>
      <c r="I106" s="4"/>
      <c r="J106" s="4"/>
      <c r="K106" s="4"/>
      <c r="L106" s="4"/>
      <c r="M106" s="4"/>
      <c r="N106" s="4"/>
      <c r="O106" s="4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</row>
    <row r="107" spans="1:61" ht="13.2" x14ac:dyDescent="0.25">
      <c r="A107" s="87"/>
      <c r="B107" s="87"/>
      <c r="C107" s="28"/>
      <c r="D107" s="28"/>
      <c r="E107" s="28"/>
      <c r="F107" s="28"/>
      <c r="G107" s="28"/>
      <c r="H107" s="28"/>
      <c r="I107" s="4"/>
      <c r="J107" s="4"/>
      <c r="K107" s="4"/>
      <c r="L107" s="4"/>
      <c r="M107" s="4"/>
      <c r="N107" s="4"/>
      <c r="O107" s="4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</row>
    <row r="108" spans="1:61" ht="13.2" x14ac:dyDescent="0.25">
      <c r="A108" s="87"/>
      <c r="B108" s="87"/>
      <c r="C108" s="28"/>
      <c r="D108" s="28"/>
      <c r="E108" s="28"/>
      <c r="F108" s="28"/>
      <c r="G108" s="28"/>
      <c r="H108" s="28"/>
      <c r="I108" s="4"/>
      <c r="J108" s="4"/>
      <c r="K108" s="4"/>
      <c r="L108" s="4"/>
      <c r="M108" s="4"/>
      <c r="N108" s="4"/>
      <c r="O108" s="4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</row>
    <row r="109" spans="1:61" ht="13.2" x14ac:dyDescent="0.25">
      <c r="A109" s="87"/>
      <c r="B109" s="87"/>
      <c r="C109" s="28"/>
      <c r="D109" s="28"/>
      <c r="E109" s="28"/>
      <c r="F109" s="28"/>
      <c r="G109" s="28"/>
      <c r="H109" s="28"/>
      <c r="I109" s="4"/>
      <c r="J109" s="4"/>
      <c r="K109" s="4"/>
      <c r="L109" s="4"/>
      <c r="M109" s="4"/>
      <c r="N109" s="4"/>
      <c r="O109" s="4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</row>
    <row r="110" spans="1:61" ht="13.2" x14ac:dyDescent="0.25">
      <c r="A110" s="87"/>
      <c r="B110" s="87"/>
      <c r="C110" s="28"/>
      <c r="D110" s="28"/>
      <c r="E110" s="28"/>
      <c r="F110" s="28"/>
      <c r="G110" s="28"/>
      <c r="H110" s="28"/>
      <c r="I110" s="4"/>
      <c r="J110" s="4"/>
      <c r="K110" s="4"/>
      <c r="L110" s="4"/>
      <c r="M110" s="4"/>
      <c r="N110" s="4"/>
      <c r="O110" s="4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</row>
    <row r="111" spans="1:61" ht="13.2" x14ac:dyDescent="0.25">
      <c r="A111" s="87"/>
      <c r="B111" s="87"/>
      <c r="C111" s="26"/>
      <c r="D111" s="26"/>
      <c r="E111" s="26"/>
      <c r="F111" s="26"/>
      <c r="G111" s="26"/>
      <c r="H111" s="26"/>
      <c r="I111" s="5"/>
      <c r="J111" s="5"/>
      <c r="K111" s="4"/>
      <c r="L111" s="4"/>
      <c r="M111" s="4"/>
      <c r="N111" s="4"/>
      <c r="O111" s="4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</row>
    <row r="112" spans="1:61" ht="13.2" x14ac:dyDescent="0.25">
      <c r="A112" s="87"/>
      <c r="B112" s="88"/>
      <c r="C112" s="28"/>
      <c r="D112" s="149"/>
      <c r="E112" s="28"/>
      <c r="F112" s="28"/>
      <c r="G112" s="149"/>
      <c r="H112" s="28"/>
      <c r="I112" s="4"/>
      <c r="J112" s="4"/>
      <c r="K112" s="4"/>
      <c r="L112" s="4"/>
      <c r="M112" s="4"/>
      <c r="N112" s="4"/>
      <c r="O112" s="4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</row>
    <row r="113" spans="1:58" ht="13.2" x14ac:dyDescent="0.25">
      <c r="A113" s="87"/>
      <c r="B113" s="87"/>
      <c r="C113" s="28"/>
      <c r="D113" s="28"/>
      <c r="E113" s="28"/>
      <c r="F113" s="28"/>
      <c r="G113" s="26"/>
      <c r="H113" s="28"/>
      <c r="I113" s="4"/>
      <c r="J113" s="4"/>
      <c r="K113" s="4"/>
      <c r="L113" s="4"/>
      <c r="M113" s="4"/>
      <c r="N113" s="4"/>
      <c r="O113" s="4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</row>
    <row r="114" spans="1:58" ht="13.2" x14ac:dyDescent="0.25">
      <c r="A114" s="87"/>
      <c r="B114" s="87"/>
      <c r="C114" s="28"/>
      <c r="D114" s="28"/>
      <c r="E114" s="28"/>
      <c r="F114" s="28"/>
      <c r="G114" s="28"/>
      <c r="H114" s="28"/>
      <c r="I114" s="4"/>
      <c r="J114" s="4"/>
      <c r="K114" s="4"/>
      <c r="L114" s="4"/>
      <c r="M114" s="4"/>
      <c r="N114" s="4"/>
      <c r="O114" s="4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</row>
    <row r="115" spans="1:58" ht="13.2" x14ac:dyDescent="0.25">
      <c r="A115" s="87"/>
      <c r="B115" s="87"/>
      <c r="C115" s="28"/>
      <c r="D115" s="28"/>
      <c r="E115" s="28"/>
      <c r="F115" s="28"/>
      <c r="G115" s="28"/>
      <c r="H115" s="28"/>
      <c r="I115" s="4"/>
      <c r="J115" s="4"/>
      <c r="K115" s="4"/>
      <c r="L115" s="4"/>
      <c r="M115" s="4"/>
      <c r="N115" s="4"/>
      <c r="O115" s="4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</row>
    <row r="116" spans="1:58" ht="13.2" x14ac:dyDescent="0.25">
      <c r="A116" s="87"/>
      <c r="B116" s="87"/>
      <c r="C116" s="28"/>
      <c r="D116" s="28"/>
      <c r="E116" s="28"/>
      <c r="F116" s="28"/>
      <c r="G116" s="28"/>
      <c r="H116" s="28"/>
      <c r="I116" s="4"/>
      <c r="J116" s="4"/>
      <c r="K116" s="4"/>
      <c r="L116" s="4"/>
      <c r="M116" s="4"/>
      <c r="N116" s="4"/>
      <c r="O116" s="4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</row>
    <row r="117" spans="1:58" ht="13.2" x14ac:dyDescent="0.25">
      <c r="A117" s="87"/>
      <c r="B117" s="87"/>
      <c r="C117" s="28"/>
      <c r="D117" s="28"/>
      <c r="E117" s="28"/>
      <c r="F117" s="28"/>
      <c r="G117" s="28"/>
      <c r="H117" s="28"/>
      <c r="I117" s="4"/>
      <c r="J117" s="4"/>
      <c r="K117" s="4"/>
      <c r="L117" s="4"/>
      <c r="M117" s="4"/>
      <c r="N117" s="4"/>
      <c r="O117" s="4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</row>
    <row r="118" spans="1:58" ht="13.2" x14ac:dyDescent="0.25">
      <c r="A118" s="87"/>
      <c r="B118" s="87"/>
      <c r="C118" s="28"/>
      <c r="D118" s="28"/>
      <c r="E118" s="26"/>
      <c r="F118" s="28"/>
      <c r="G118" s="28"/>
      <c r="H118" s="28"/>
      <c r="I118" s="4"/>
      <c r="J118" s="4"/>
      <c r="K118" s="4"/>
      <c r="L118" s="4"/>
      <c r="M118" s="4"/>
      <c r="N118" s="4"/>
      <c r="O118" s="4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</row>
    <row r="119" spans="1:58" ht="13.2" x14ac:dyDescent="0.25">
      <c r="A119" s="87"/>
      <c r="B119" s="87"/>
      <c r="C119" s="28"/>
      <c r="D119" s="28"/>
      <c r="E119" s="28"/>
      <c r="F119" s="28"/>
      <c r="G119" s="28"/>
      <c r="H119" s="28"/>
      <c r="I119" s="4"/>
      <c r="J119" s="4"/>
      <c r="K119" s="4"/>
      <c r="L119" s="4"/>
      <c r="M119" s="4"/>
      <c r="N119" s="4"/>
      <c r="O119" s="4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</row>
    <row r="120" spans="1:58" ht="13.2" x14ac:dyDescent="0.25">
      <c r="A120" s="87"/>
      <c r="B120" s="87"/>
      <c r="C120" s="28"/>
      <c r="D120" s="26"/>
      <c r="E120" s="28"/>
      <c r="F120" s="28"/>
      <c r="G120" s="28"/>
      <c r="H120" s="28"/>
      <c r="I120" s="4"/>
      <c r="J120" s="4"/>
      <c r="K120" s="4"/>
      <c r="L120" s="4"/>
      <c r="M120" s="4"/>
      <c r="N120" s="4"/>
      <c r="O120" s="4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</row>
    <row r="121" spans="1:58" ht="13.2" x14ac:dyDescent="0.25">
      <c r="A121" s="87"/>
      <c r="B121" s="87"/>
      <c r="C121" s="28"/>
      <c r="D121" s="28"/>
      <c r="E121" s="28"/>
      <c r="F121" s="28"/>
      <c r="G121" s="28"/>
      <c r="H121" s="28"/>
      <c r="I121" s="4"/>
      <c r="J121" s="4"/>
      <c r="K121" s="4"/>
      <c r="L121" s="4"/>
      <c r="M121" s="4"/>
      <c r="N121" s="4"/>
      <c r="O121" s="4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</row>
    <row r="122" spans="1:58" ht="13.2" x14ac:dyDescent="0.25">
      <c r="A122" s="87"/>
      <c r="B122" s="87"/>
      <c r="C122" s="28"/>
      <c r="D122" s="26"/>
      <c r="E122" s="79"/>
      <c r="F122" s="28"/>
      <c r="G122" s="28"/>
      <c r="H122" s="28"/>
      <c r="I122" s="4"/>
      <c r="J122" s="4"/>
      <c r="K122" s="4"/>
      <c r="L122" s="4"/>
      <c r="M122" s="4"/>
      <c r="N122" s="4"/>
      <c r="O122" s="4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</row>
    <row r="123" spans="1:58" ht="13.2" x14ac:dyDescent="0.25">
      <c r="A123" s="87"/>
      <c r="B123" s="87"/>
      <c r="C123" s="28"/>
      <c r="D123" s="28"/>
      <c r="E123" s="28"/>
      <c r="F123" s="28"/>
      <c r="G123" s="28"/>
      <c r="H123" s="28"/>
      <c r="I123" s="4"/>
      <c r="J123" s="4"/>
      <c r="K123" s="4"/>
      <c r="L123" s="4"/>
      <c r="M123" s="4"/>
      <c r="N123" s="4"/>
      <c r="O123" s="4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</row>
    <row r="124" spans="1:58" ht="13.2" x14ac:dyDescent="0.25">
      <c r="A124" s="87"/>
      <c r="B124" s="87"/>
      <c r="C124" s="28"/>
      <c r="D124" s="26"/>
      <c r="E124" s="28"/>
      <c r="F124" s="28"/>
      <c r="G124" s="28"/>
      <c r="H124" s="28"/>
      <c r="I124" s="4"/>
      <c r="J124" s="4"/>
      <c r="K124" s="4"/>
      <c r="L124" s="4"/>
      <c r="M124" s="4"/>
      <c r="N124" s="4"/>
      <c r="O124" s="4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</row>
    <row r="125" spans="1:58" ht="13.2" x14ac:dyDescent="0.25">
      <c r="A125" s="87"/>
      <c r="B125" s="87"/>
      <c r="C125" s="28"/>
      <c r="D125" s="28"/>
      <c r="E125" s="28"/>
      <c r="F125" s="28"/>
      <c r="G125" s="28"/>
      <c r="H125" s="28"/>
      <c r="I125" s="4"/>
      <c r="J125" s="4"/>
      <c r="K125" s="4"/>
      <c r="L125" s="4"/>
      <c r="M125" s="4"/>
      <c r="N125" s="4"/>
      <c r="O125" s="4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</row>
    <row r="126" spans="1:58" ht="13.2" x14ac:dyDescent="0.25">
      <c r="A126" s="87"/>
      <c r="B126" s="87"/>
      <c r="C126" s="28"/>
      <c r="D126" s="28"/>
      <c r="E126" s="28"/>
      <c r="F126" s="28"/>
      <c r="G126" s="28"/>
      <c r="H126" s="28"/>
      <c r="I126" s="4"/>
      <c r="J126" s="4"/>
      <c r="K126" s="4"/>
      <c r="L126" s="4"/>
      <c r="M126" s="4"/>
      <c r="N126" s="4"/>
      <c r="O126" s="4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</row>
    <row r="127" spans="1:58" ht="13.2" x14ac:dyDescent="0.25">
      <c r="A127" s="87"/>
      <c r="B127" s="87"/>
      <c r="C127" s="28"/>
      <c r="D127" s="28"/>
      <c r="E127" s="28"/>
      <c r="F127" s="28"/>
      <c r="G127" s="28"/>
      <c r="H127" s="28"/>
      <c r="I127" s="4"/>
      <c r="J127" s="4"/>
      <c r="K127" s="4"/>
      <c r="L127" s="4"/>
      <c r="M127" s="4"/>
      <c r="N127" s="4"/>
      <c r="O127" s="4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</row>
    <row r="128" spans="1:58" ht="13.2" x14ac:dyDescent="0.25">
      <c r="A128" s="87"/>
      <c r="B128" s="87"/>
      <c r="C128" s="28"/>
      <c r="D128" s="26"/>
      <c r="E128" s="149"/>
      <c r="F128" s="28"/>
      <c r="G128" s="28"/>
      <c r="H128" s="28"/>
      <c r="I128" s="4"/>
      <c r="J128" s="4"/>
      <c r="K128" s="4"/>
      <c r="L128" s="4"/>
      <c r="M128" s="4"/>
      <c r="N128" s="4"/>
      <c r="O128" s="4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</row>
    <row r="129" spans="1:58" ht="13.2" x14ac:dyDescent="0.25">
      <c r="A129" s="87"/>
      <c r="B129" s="87"/>
      <c r="C129" s="28"/>
      <c r="D129" s="28"/>
      <c r="E129" s="28"/>
      <c r="F129" s="28"/>
      <c r="G129" s="28"/>
      <c r="H129" s="28"/>
      <c r="I129" s="4"/>
      <c r="J129" s="4"/>
      <c r="K129" s="4"/>
      <c r="L129" s="4"/>
      <c r="M129" s="4"/>
      <c r="N129" s="4"/>
      <c r="O129" s="4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</row>
    <row r="130" spans="1:58" ht="13.2" x14ac:dyDescent="0.25">
      <c r="A130" s="87"/>
      <c r="B130" s="87"/>
      <c r="C130" s="28"/>
      <c r="D130" s="28"/>
      <c r="E130" s="28"/>
      <c r="F130" s="28"/>
      <c r="G130" s="28"/>
      <c r="H130" s="28"/>
      <c r="I130" s="4"/>
      <c r="J130" s="4"/>
      <c r="K130" s="4"/>
      <c r="L130" s="4"/>
      <c r="M130" s="4"/>
      <c r="N130" s="4"/>
      <c r="O130" s="4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</row>
    <row r="131" spans="1:58" ht="13.2" x14ac:dyDescent="0.25">
      <c r="A131" s="87"/>
      <c r="B131" s="87"/>
      <c r="C131" s="28"/>
      <c r="D131" s="28"/>
      <c r="E131" s="28"/>
      <c r="F131" s="28"/>
      <c r="G131" s="28"/>
      <c r="H131" s="28"/>
      <c r="I131" s="4"/>
      <c r="J131" s="4"/>
      <c r="K131" s="4"/>
      <c r="L131" s="4"/>
      <c r="M131" s="4"/>
      <c r="N131" s="4"/>
      <c r="O131" s="4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</row>
    <row r="132" spans="1:58" ht="13.2" x14ac:dyDescent="0.25">
      <c r="A132" s="87"/>
      <c r="B132" s="87"/>
      <c r="C132" s="28"/>
      <c r="D132" s="28"/>
      <c r="E132" s="28"/>
      <c r="F132" s="28"/>
      <c r="G132" s="28"/>
      <c r="H132" s="28"/>
      <c r="I132" s="4"/>
      <c r="J132" s="4"/>
      <c r="K132" s="4"/>
      <c r="L132" s="4"/>
      <c r="M132" s="4"/>
      <c r="N132" s="4"/>
      <c r="O132" s="4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</row>
    <row r="133" spans="1:58" ht="13.2" x14ac:dyDescent="0.25">
      <c r="A133" s="87"/>
      <c r="B133" s="87" t="s">
        <v>24</v>
      </c>
      <c r="C133" s="28"/>
      <c r="D133" s="28"/>
      <c r="E133" s="28"/>
      <c r="F133" s="28"/>
      <c r="G133" s="28"/>
      <c r="H133" s="28"/>
      <c r="I133" s="4"/>
      <c r="J133" s="4"/>
      <c r="K133" s="4"/>
      <c r="L133" s="4"/>
      <c r="M133" s="4"/>
      <c r="N133" s="4"/>
      <c r="O133" s="4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</row>
    <row r="134" spans="1:58" ht="13.2" x14ac:dyDescent="0.25">
      <c r="A134" s="87"/>
      <c r="B134" s="87"/>
      <c r="C134" s="28"/>
      <c r="D134" s="28"/>
      <c r="E134" s="28"/>
      <c r="F134" s="28"/>
      <c r="G134" s="28"/>
      <c r="H134" s="28"/>
      <c r="I134" s="4"/>
      <c r="J134" s="4"/>
      <c r="K134" s="4"/>
      <c r="L134" s="4"/>
      <c r="M134" s="4"/>
      <c r="N134" s="4"/>
      <c r="O134" s="4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</row>
    <row r="135" spans="1:58" ht="13.2" x14ac:dyDescent="0.25">
      <c r="A135" s="87"/>
      <c r="B135" s="87"/>
      <c r="C135" s="28"/>
      <c r="D135" s="28"/>
      <c r="E135" s="28"/>
      <c r="F135" s="28"/>
      <c r="G135" s="28"/>
      <c r="H135" s="28"/>
      <c r="I135" s="4"/>
      <c r="J135" s="4"/>
      <c r="K135" s="4"/>
      <c r="L135" s="4"/>
      <c r="M135" s="4"/>
      <c r="N135" s="4"/>
      <c r="O135" s="4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</row>
    <row r="136" spans="1:58" ht="13.2" x14ac:dyDescent="0.25">
      <c r="A136" s="7"/>
      <c r="B136" s="7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</row>
    <row r="137" spans="1:58" ht="13.2" x14ac:dyDescent="0.25">
      <c r="A137" s="7"/>
      <c r="B137" s="7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</row>
    <row r="138" spans="1:58" ht="13.2" x14ac:dyDescent="0.25">
      <c r="A138" s="7"/>
      <c r="B138" s="7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</row>
    <row r="139" spans="1:58" ht="13.2" x14ac:dyDescent="0.25">
      <c r="A139" s="7"/>
      <c r="B139" s="7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</row>
    <row r="140" spans="1:58" ht="13.2" x14ac:dyDescent="0.25">
      <c r="A140" s="7"/>
      <c r="B140" s="7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</row>
    <row r="141" spans="1:58" ht="13.2" x14ac:dyDescent="0.25">
      <c r="A141" s="7"/>
      <c r="B141" s="7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</row>
    <row r="142" spans="1:58" ht="13.2" x14ac:dyDescent="0.25">
      <c r="A142" s="7"/>
      <c r="B142" s="7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</row>
    <row r="143" spans="1:58" ht="13.2" x14ac:dyDescent="0.25">
      <c r="A143" s="7"/>
      <c r="B143" s="7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</row>
    <row r="144" spans="1:58" ht="13.2" x14ac:dyDescent="0.25">
      <c r="A144" s="7"/>
      <c r="B144" s="7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</row>
    <row r="145" spans="1:58" ht="13.2" x14ac:dyDescent="0.25">
      <c r="A145" s="7"/>
      <c r="B145" s="7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</row>
    <row r="146" spans="1:58" ht="13.2" x14ac:dyDescent="0.25">
      <c r="A146" s="7"/>
      <c r="B146" s="7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</row>
    <row r="147" spans="1:58" ht="13.2" x14ac:dyDescent="0.25">
      <c r="A147" s="7"/>
      <c r="B147" s="7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</row>
    <row r="148" spans="1:58" ht="13.2" x14ac:dyDescent="0.25">
      <c r="A148" s="7"/>
      <c r="B148" s="7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</row>
    <row r="149" spans="1:58" ht="13.2" x14ac:dyDescent="0.25">
      <c r="A149" s="7"/>
      <c r="B149" s="7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</row>
    <row r="150" spans="1:58" ht="13.2" x14ac:dyDescent="0.25">
      <c r="A150" s="7"/>
      <c r="B150" s="7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</row>
    <row r="151" spans="1:58" ht="13.2" x14ac:dyDescent="0.25">
      <c r="A151" s="7"/>
      <c r="B151" s="7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</row>
    <row r="152" spans="1:58" ht="13.2" x14ac:dyDescent="0.25">
      <c r="A152" s="7"/>
      <c r="B152" s="7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</row>
    <row r="153" spans="1:58" ht="13.2" x14ac:dyDescent="0.25">
      <c r="A153" s="7"/>
      <c r="B153" s="7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</row>
    <row r="154" spans="1:58" ht="13.2" x14ac:dyDescent="0.25">
      <c r="A154" s="7"/>
      <c r="B154" s="7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</row>
    <row r="155" spans="1:58" ht="13.2" x14ac:dyDescent="0.25">
      <c r="A155" s="7"/>
      <c r="B155" s="7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</row>
    <row r="156" spans="1:58" ht="13.2" x14ac:dyDescent="0.25">
      <c r="A156" s="7"/>
      <c r="B156" s="7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</row>
    <row r="157" spans="1:58" ht="13.2" x14ac:dyDescent="0.25">
      <c r="A157" s="7"/>
      <c r="B157" s="7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</row>
    <row r="158" spans="1:58" ht="13.2" x14ac:dyDescent="0.25">
      <c r="A158" s="7"/>
      <c r="B158" s="7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</row>
    <row r="159" spans="1:58" ht="13.2" x14ac:dyDescent="0.25">
      <c r="A159" s="7"/>
      <c r="B159" s="7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</row>
    <row r="160" spans="1:58" ht="13.2" x14ac:dyDescent="0.25">
      <c r="A160" s="7"/>
      <c r="B160" s="7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</row>
    <row r="161" spans="1:58" ht="13.2" x14ac:dyDescent="0.25">
      <c r="A161" s="7"/>
      <c r="B161" s="7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</row>
    <row r="162" spans="1:58" ht="13.2" x14ac:dyDescent="0.25">
      <c r="A162" s="7"/>
      <c r="B162" s="7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</row>
    <row r="163" spans="1:58" ht="13.2" x14ac:dyDescent="0.25">
      <c r="A163" s="7"/>
      <c r="B163" s="7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</row>
    <row r="164" spans="1:58" ht="13.2" x14ac:dyDescent="0.25">
      <c r="A164" s="7"/>
      <c r="B164" s="7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</row>
    <row r="165" spans="1:58" ht="13.2" x14ac:dyDescent="0.25">
      <c r="A165" s="7"/>
      <c r="B165" s="7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</row>
    <row r="166" spans="1:58" ht="13.2" x14ac:dyDescent="0.25">
      <c r="A166" s="7"/>
      <c r="B166" s="7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</row>
    <row r="167" spans="1:58" ht="13.2" x14ac:dyDescent="0.25">
      <c r="A167" s="7"/>
      <c r="B167" s="7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</row>
    <row r="168" spans="1:58" ht="13.2" x14ac:dyDescent="0.25">
      <c r="A168" s="7"/>
      <c r="B168" s="7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</row>
    <row r="169" spans="1:58" ht="13.2" x14ac:dyDescent="0.25">
      <c r="A169" s="7"/>
      <c r="B169" s="7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</row>
    <row r="170" spans="1:58" ht="13.2" x14ac:dyDescent="0.25">
      <c r="A170" s="7"/>
      <c r="B170" s="7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</row>
    <row r="171" spans="1:58" ht="13.2" x14ac:dyDescent="0.25">
      <c r="A171" s="7"/>
      <c r="B171" s="7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</row>
    <row r="172" spans="1:58" ht="13.2" x14ac:dyDescent="0.25">
      <c r="A172" s="7"/>
      <c r="B172" s="7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</row>
    <row r="173" spans="1:58" ht="13.2" x14ac:dyDescent="0.25">
      <c r="A173" s="7"/>
      <c r="B173" s="7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</row>
    <row r="174" spans="1:58" ht="13.2" x14ac:dyDescent="0.25">
      <c r="A174" s="7"/>
      <c r="B174" s="7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</row>
    <row r="175" spans="1:58" ht="13.2" x14ac:dyDescent="0.25">
      <c r="A175" s="7"/>
      <c r="B175" s="7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</row>
    <row r="176" spans="1:58" ht="13.2" x14ac:dyDescent="0.25">
      <c r="A176" s="7"/>
      <c r="B176" s="7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</row>
    <row r="177" spans="1:58" ht="13.2" x14ac:dyDescent="0.25">
      <c r="A177" s="7"/>
      <c r="B177" s="7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</row>
    <row r="178" spans="1:58" ht="13.2" x14ac:dyDescent="0.25">
      <c r="A178" s="7"/>
      <c r="B178" s="7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</row>
    <row r="179" spans="1:58" ht="13.2" x14ac:dyDescent="0.25">
      <c r="A179" s="7"/>
      <c r="B179" s="7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</row>
    <row r="180" spans="1:58" ht="13.2" x14ac:dyDescent="0.25">
      <c r="A180" s="7"/>
      <c r="B180" s="7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</row>
    <row r="181" spans="1:58" ht="13.2" x14ac:dyDescent="0.25">
      <c r="A181" s="7"/>
      <c r="B181" s="7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</row>
    <row r="182" spans="1:58" ht="13.2" x14ac:dyDescent="0.25">
      <c r="A182" s="7"/>
      <c r="B182" s="7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</row>
    <row r="183" spans="1:58" ht="13.2" x14ac:dyDescent="0.25">
      <c r="A183" s="7"/>
      <c r="B183" s="7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</row>
    <row r="184" spans="1:58" ht="13.2" x14ac:dyDescent="0.25">
      <c r="A184" s="7"/>
      <c r="B184" s="7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</row>
    <row r="185" spans="1:58" ht="13.2" x14ac:dyDescent="0.25">
      <c r="A185" s="7"/>
      <c r="B185" s="7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</row>
    <row r="186" spans="1:58" ht="13.2" x14ac:dyDescent="0.25">
      <c r="A186" s="7"/>
      <c r="B186" s="7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</row>
    <row r="187" spans="1:58" ht="13.2" x14ac:dyDescent="0.25">
      <c r="A187" s="7"/>
      <c r="B187" s="7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</row>
    <row r="188" spans="1:58" ht="13.2" x14ac:dyDescent="0.25">
      <c r="A188" s="7"/>
      <c r="B188" s="7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</row>
    <row r="189" spans="1:58" ht="13.2" x14ac:dyDescent="0.25">
      <c r="A189" s="7"/>
      <c r="B189" s="7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</row>
    <row r="190" spans="1:58" ht="13.2" x14ac:dyDescent="0.25">
      <c r="A190" s="7"/>
      <c r="B190" s="7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</row>
    <row r="191" spans="1:58" ht="13.2" x14ac:dyDescent="0.25">
      <c r="A191" s="7"/>
      <c r="B191" s="7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</row>
    <row r="192" spans="1:58" ht="13.2" x14ac:dyDescent="0.25">
      <c r="A192" s="7"/>
      <c r="B192" s="7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</row>
    <row r="193" spans="1:58" ht="13.2" x14ac:dyDescent="0.25">
      <c r="A193" s="7"/>
      <c r="B193" s="7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</row>
    <row r="194" spans="1:58" ht="13.2" x14ac:dyDescent="0.25">
      <c r="A194" s="7"/>
      <c r="B194" s="7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</row>
    <row r="195" spans="1:58" ht="13.2" x14ac:dyDescent="0.25">
      <c r="A195" s="7"/>
      <c r="B195" s="7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</row>
    <row r="196" spans="1:58" ht="13.2" x14ac:dyDescent="0.25">
      <c r="A196" s="7"/>
      <c r="B196" s="7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</row>
    <row r="197" spans="1:58" ht="13.2" x14ac:dyDescent="0.25">
      <c r="A197" s="7"/>
      <c r="B197" s="7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</row>
    <row r="198" spans="1:58" ht="13.2" x14ac:dyDescent="0.25">
      <c r="A198" s="7"/>
      <c r="B198" s="7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</row>
    <row r="199" spans="1:58" ht="13.2" x14ac:dyDescent="0.25">
      <c r="A199" s="7"/>
      <c r="B199" s="7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</row>
    <row r="200" spans="1:58" ht="13.2" x14ac:dyDescent="0.25">
      <c r="A200" s="7"/>
      <c r="B200" s="7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</row>
    <row r="201" spans="1:58" ht="13.2" x14ac:dyDescent="0.25">
      <c r="A201" s="7"/>
      <c r="B201" s="7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</row>
    <row r="202" spans="1:58" ht="13.2" x14ac:dyDescent="0.25">
      <c r="A202" s="7"/>
      <c r="B202" s="7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</row>
    <row r="203" spans="1:58" ht="13.2" x14ac:dyDescent="0.25">
      <c r="A203" s="7"/>
      <c r="B203" s="7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</row>
    <row r="204" spans="1:58" ht="13.2" x14ac:dyDescent="0.25">
      <c r="A204" s="7"/>
      <c r="B204" s="7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</row>
    <row r="205" spans="1:58" ht="13.2" x14ac:dyDescent="0.25">
      <c r="A205" s="7"/>
      <c r="B205" s="7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</row>
    <row r="206" spans="1:58" ht="13.2" x14ac:dyDescent="0.25">
      <c r="A206" s="7"/>
      <c r="B206" s="7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</row>
    <row r="207" spans="1:58" ht="13.2" x14ac:dyDescent="0.25">
      <c r="A207" s="7"/>
      <c r="B207" s="7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</row>
    <row r="208" spans="1:58" ht="13.2" x14ac:dyDescent="0.25">
      <c r="A208" s="7"/>
      <c r="B208" s="7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</row>
    <row r="209" spans="1:58" ht="13.2" x14ac:dyDescent="0.25">
      <c r="A209" s="7"/>
      <c r="B209" s="7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</row>
    <row r="210" spans="1:58" ht="13.2" x14ac:dyDescent="0.25">
      <c r="A210" s="7"/>
      <c r="B210" s="7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</row>
    <row r="211" spans="1:58" ht="13.2" x14ac:dyDescent="0.25">
      <c r="A211" s="7"/>
      <c r="B211" s="7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</row>
    <row r="212" spans="1:58" ht="13.2" x14ac:dyDescent="0.25">
      <c r="A212" s="7"/>
      <c r="B212" s="7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</row>
    <row r="213" spans="1:58" ht="13.2" x14ac:dyDescent="0.25">
      <c r="A213" s="7"/>
      <c r="B213" s="7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</row>
    <row r="214" spans="1:58" ht="13.2" x14ac:dyDescent="0.25">
      <c r="A214" s="7"/>
      <c r="B214" s="7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</row>
    <row r="215" spans="1:58" ht="13.2" x14ac:dyDescent="0.25">
      <c r="A215" s="7"/>
      <c r="B215" s="7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</row>
    <row r="216" spans="1:58" ht="13.2" x14ac:dyDescent="0.25">
      <c r="A216" s="7"/>
      <c r="B216" s="7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</row>
    <row r="217" spans="1:58" ht="13.2" x14ac:dyDescent="0.25">
      <c r="A217" s="7"/>
      <c r="B217" s="7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</row>
    <row r="218" spans="1:58" ht="13.2" x14ac:dyDescent="0.25">
      <c r="A218" s="7"/>
      <c r="B218" s="7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</row>
    <row r="219" spans="1:58" ht="13.2" x14ac:dyDescent="0.25">
      <c r="A219" s="7"/>
      <c r="B219" s="7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</row>
    <row r="220" spans="1:58" ht="13.2" x14ac:dyDescent="0.25">
      <c r="A220" s="7"/>
      <c r="B220" s="7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</row>
    <row r="221" spans="1:58" ht="13.2" x14ac:dyDescent="0.25">
      <c r="A221" s="7"/>
      <c r="B221" s="7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</row>
    <row r="222" spans="1:58" ht="13.2" x14ac:dyDescent="0.25">
      <c r="A222" s="7"/>
      <c r="B222" s="7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</row>
    <row r="223" spans="1:58" ht="13.2" x14ac:dyDescent="0.25">
      <c r="A223" s="7"/>
      <c r="B223" s="7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</row>
    <row r="224" spans="1:58" ht="13.2" x14ac:dyDescent="0.25">
      <c r="A224" s="7"/>
      <c r="B224" s="7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</row>
    <row r="225" spans="1:58" ht="13.2" x14ac:dyDescent="0.25">
      <c r="A225" s="7"/>
      <c r="B225" s="7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</row>
    <row r="226" spans="1:58" ht="13.2" x14ac:dyDescent="0.25">
      <c r="A226" s="7"/>
      <c r="B226" s="7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</row>
    <row r="227" spans="1:58" ht="13.2" x14ac:dyDescent="0.25">
      <c r="A227" s="7"/>
      <c r="B227" s="7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</row>
    <row r="228" spans="1:58" ht="13.2" x14ac:dyDescent="0.25">
      <c r="A228" s="7"/>
      <c r="B228" s="7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</row>
    <row r="229" spans="1:58" ht="13.2" x14ac:dyDescent="0.25">
      <c r="A229" s="7"/>
      <c r="B229" s="7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</row>
    <row r="230" spans="1:58" ht="13.2" x14ac:dyDescent="0.25">
      <c r="A230" s="7"/>
      <c r="B230" s="7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</row>
    <row r="231" spans="1:58" ht="13.2" x14ac:dyDescent="0.25">
      <c r="A231" s="7"/>
      <c r="B231" s="7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</row>
    <row r="232" spans="1:58" ht="13.2" x14ac:dyDescent="0.25">
      <c r="A232" s="7"/>
      <c r="B232" s="7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</row>
    <row r="233" spans="1:58" ht="13.2" x14ac:dyDescent="0.25">
      <c r="A233" s="7"/>
      <c r="B233" s="7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</row>
    <row r="234" spans="1:58" ht="13.2" x14ac:dyDescent="0.25">
      <c r="A234" s="7"/>
      <c r="B234" s="7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</row>
    <row r="235" spans="1:58" ht="13.2" x14ac:dyDescent="0.25">
      <c r="A235" s="7"/>
      <c r="B235" s="7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</row>
    <row r="236" spans="1:58" ht="13.2" x14ac:dyDescent="0.25">
      <c r="A236" s="7"/>
      <c r="B236" s="7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</row>
    <row r="237" spans="1:58" ht="13.2" x14ac:dyDescent="0.25">
      <c r="A237" s="7"/>
      <c r="B237" s="7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</row>
    <row r="238" spans="1:58" ht="13.2" x14ac:dyDescent="0.25">
      <c r="A238" s="7"/>
      <c r="B238" s="7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</row>
    <row r="239" spans="1:58" ht="13.2" x14ac:dyDescent="0.25">
      <c r="A239" s="7"/>
      <c r="B239" s="7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</row>
    <row r="240" spans="1:58" ht="13.2" x14ac:dyDescent="0.25">
      <c r="A240" s="7"/>
      <c r="B240" s="7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</row>
    <row r="241" spans="1:58" ht="13.2" x14ac:dyDescent="0.25">
      <c r="A241" s="7"/>
      <c r="B241" s="7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</row>
    <row r="242" spans="1:58" ht="13.2" x14ac:dyDescent="0.25">
      <c r="A242" s="7"/>
      <c r="B242" s="7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</row>
    <row r="243" spans="1:58" ht="13.2" x14ac:dyDescent="0.25">
      <c r="A243" s="7"/>
      <c r="B243" s="7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</row>
    <row r="244" spans="1:58" ht="13.2" x14ac:dyDescent="0.25">
      <c r="A244" s="7"/>
      <c r="B244" s="7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</row>
    <row r="245" spans="1:58" ht="13.2" x14ac:dyDescent="0.25">
      <c r="A245" s="7"/>
      <c r="B245" s="7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</row>
    <row r="246" spans="1:58" ht="13.2" x14ac:dyDescent="0.25">
      <c r="A246" s="7"/>
      <c r="B246" s="7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</row>
    <row r="247" spans="1:58" ht="13.2" x14ac:dyDescent="0.25">
      <c r="A247" s="7"/>
      <c r="B247" s="7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</row>
    <row r="248" spans="1:58" ht="13.2" x14ac:dyDescent="0.25">
      <c r="A248" s="7"/>
      <c r="B248" s="7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</row>
    <row r="249" spans="1:58" ht="13.2" x14ac:dyDescent="0.25">
      <c r="A249" s="7"/>
      <c r="B249" s="7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</row>
    <row r="250" spans="1:58" ht="13.2" x14ac:dyDescent="0.25">
      <c r="A250" s="7"/>
      <c r="B250" s="7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</row>
    <row r="251" spans="1:58" ht="13.2" x14ac:dyDescent="0.25">
      <c r="A251" s="7"/>
      <c r="B251" s="7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</row>
    <row r="252" spans="1:58" ht="13.2" x14ac:dyDescent="0.25">
      <c r="A252" s="7"/>
      <c r="B252" s="7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</row>
    <row r="253" spans="1:58" ht="13.2" x14ac:dyDescent="0.25">
      <c r="A253" s="7"/>
      <c r="B253" s="7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</row>
    <row r="254" spans="1:58" ht="13.2" x14ac:dyDescent="0.25">
      <c r="A254" s="7"/>
      <c r="B254" s="7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</row>
    <row r="255" spans="1:58" ht="13.2" x14ac:dyDescent="0.25">
      <c r="A255" s="7"/>
      <c r="B255" s="7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</row>
    <row r="256" spans="1:58" ht="13.2" x14ac:dyDescent="0.25">
      <c r="A256" s="7"/>
      <c r="B256" s="7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</row>
    <row r="257" spans="1:58" ht="13.2" x14ac:dyDescent="0.25">
      <c r="A257" s="7"/>
      <c r="B257" s="7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</row>
    <row r="258" spans="1:58" ht="13.2" x14ac:dyDescent="0.25">
      <c r="A258" s="7"/>
      <c r="B258" s="7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</row>
    <row r="259" spans="1:58" ht="13.2" x14ac:dyDescent="0.25">
      <c r="A259" s="7"/>
      <c r="B259" s="7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</row>
    <row r="260" spans="1:58" ht="13.2" x14ac:dyDescent="0.25">
      <c r="A260" s="7"/>
      <c r="B260" s="7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</row>
    <row r="261" spans="1:58" ht="13.2" x14ac:dyDescent="0.25">
      <c r="A261" s="7"/>
      <c r="B261" s="7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</row>
    <row r="262" spans="1:58" ht="13.2" x14ac:dyDescent="0.25">
      <c r="A262" s="7"/>
      <c r="B262" s="7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</row>
    <row r="263" spans="1:58" ht="13.2" x14ac:dyDescent="0.25">
      <c r="A263" s="7"/>
      <c r="B263" s="7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</row>
    <row r="264" spans="1:58" ht="13.2" x14ac:dyDescent="0.25">
      <c r="A264" s="7"/>
      <c r="B264" s="7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</row>
    <row r="265" spans="1:58" ht="13.2" x14ac:dyDescent="0.25">
      <c r="A265" s="7"/>
      <c r="B265" s="7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</row>
    <row r="266" spans="1:58" ht="13.2" x14ac:dyDescent="0.25">
      <c r="A266" s="7"/>
      <c r="B266" s="7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</row>
    <row r="267" spans="1:58" ht="13.2" x14ac:dyDescent="0.25">
      <c r="A267" s="7"/>
      <c r="B267" s="7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</row>
    <row r="268" spans="1:58" ht="13.2" x14ac:dyDescent="0.25">
      <c r="A268" s="7"/>
      <c r="B268" s="7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</row>
    <row r="269" spans="1:58" ht="13.2" x14ac:dyDescent="0.25">
      <c r="A269" s="7"/>
      <c r="B269" s="7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</row>
    <row r="270" spans="1:58" ht="13.2" x14ac:dyDescent="0.25">
      <c r="A270" s="7"/>
      <c r="B270" s="7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</row>
    <row r="271" spans="1:58" ht="13.2" x14ac:dyDescent="0.25">
      <c r="A271" s="7"/>
      <c r="B271" s="7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</row>
    <row r="272" spans="1:58" ht="13.2" x14ac:dyDescent="0.25">
      <c r="A272" s="7"/>
      <c r="B272" s="7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</row>
    <row r="273" spans="1:58" ht="13.2" x14ac:dyDescent="0.25">
      <c r="A273" s="7"/>
      <c r="B273" s="7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</row>
    <row r="274" spans="1:58" ht="13.2" x14ac:dyDescent="0.25">
      <c r="A274" s="7"/>
      <c r="B274" s="7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</row>
    <row r="275" spans="1:58" ht="13.2" x14ac:dyDescent="0.25">
      <c r="A275" s="7"/>
      <c r="B275" s="7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</row>
    <row r="276" spans="1:58" ht="13.2" x14ac:dyDescent="0.25">
      <c r="A276" s="7"/>
      <c r="B276" s="7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</row>
    <row r="277" spans="1:58" ht="13.2" x14ac:dyDescent="0.25">
      <c r="A277" s="7"/>
      <c r="B277" s="7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</row>
    <row r="278" spans="1:58" ht="13.2" x14ac:dyDescent="0.25">
      <c r="A278" s="7"/>
      <c r="B278" s="7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</row>
    <row r="279" spans="1:58" ht="13.2" x14ac:dyDescent="0.25">
      <c r="A279" s="7"/>
      <c r="B279" s="7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</row>
    <row r="280" spans="1:58" ht="13.2" x14ac:dyDescent="0.25">
      <c r="A280" s="7"/>
      <c r="B280" s="7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</row>
    <row r="281" spans="1:58" ht="13.2" x14ac:dyDescent="0.25">
      <c r="A281" s="7"/>
      <c r="B281" s="7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</row>
    <row r="282" spans="1:58" ht="13.2" x14ac:dyDescent="0.25">
      <c r="A282" s="7"/>
      <c r="B282" s="7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</row>
    <row r="283" spans="1:58" ht="13.2" x14ac:dyDescent="0.25">
      <c r="A283" s="7"/>
      <c r="B283" s="7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</row>
    <row r="284" spans="1:58" ht="13.2" x14ac:dyDescent="0.25">
      <c r="A284" s="7"/>
      <c r="B284" s="7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</row>
    <row r="285" spans="1:58" ht="13.2" x14ac:dyDescent="0.25">
      <c r="A285" s="7"/>
      <c r="B285" s="7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</row>
    <row r="286" spans="1:58" ht="13.2" x14ac:dyDescent="0.25">
      <c r="A286" s="7"/>
      <c r="B286" s="7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</row>
    <row r="287" spans="1:58" ht="13.2" x14ac:dyDescent="0.25">
      <c r="A287" s="7"/>
      <c r="B287" s="7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</row>
    <row r="288" spans="1:58" ht="13.2" x14ac:dyDescent="0.25">
      <c r="A288" s="7"/>
      <c r="B288" s="7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</row>
    <row r="289" spans="1:58" ht="13.2" x14ac:dyDescent="0.25">
      <c r="A289" s="7"/>
      <c r="B289" s="7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</row>
    <row r="290" spans="1:58" ht="13.2" x14ac:dyDescent="0.25">
      <c r="A290" s="7"/>
      <c r="B290" s="7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</row>
    <row r="291" spans="1:58" ht="13.2" x14ac:dyDescent="0.25">
      <c r="A291" s="7"/>
      <c r="B291" s="7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</row>
    <row r="292" spans="1:58" ht="13.2" x14ac:dyDescent="0.25">
      <c r="A292" s="7"/>
      <c r="B292" s="7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</row>
    <row r="293" spans="1:58" ht="13.2" x14ac:dyDescent="0.25">
      <c r="A293" s="7"/>
      <c r="B293" s="7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</row>
    <row r="294" spans="1:58" ht="13.2" x14ac:dyDescent="0.25">
      <c r="A294" s="7"/>
      <c r="B294" s="7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</row>
    <row r="295" spans="1:58" ht="13.2" x14ac:dyDescent="0.25">
      <c r="A295" s="7"/>
      <c r="B295" s="7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</row>
    <row r="296" spans="1:58" ht="13.2" x14ac:dyDescent="0.25">
      <c r="A296" s="7"/>
      <c r="B296" s="7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</row>
    <row r="297" spans="1:58" ht="13.2" x14ac:dyDescent="0.25">
      <c r="A297" s="7"/>
      <c r="B297" s="7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</row>
    <row r="298" spans="1:58" ht="13.2" x14ac:dyDescent="0.25">
      <c r="A298" s="7"/>
      <c r="B298" s="7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</row>
    <row r="299" spans="1:58" ht="13.2" x14ac:dyDescent="0.25">
      <c r="A299" s="7"/>
      <c r="B299" s="7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</row>
    <row r="300" spans="1:58" ht="13.2" x14ac:dyDescent="0.25">
      <c r="A300" s="7"/>
      <c r="B300" s="7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</row>
    <row r="301" spans="1:58" ht="13.2" x14ac:dyDescent="0.25">
      <c r="A301" s="7"/>
      <c r="B301" s="7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</row>
    <row r="302" spans="1:58" ht="13.2" x14ac:dyDescent="0.25">
      <c r="A302" s="7"/>
      <c r="B302" s="7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</row>
    <row r="303" spans="1:58" ht="13.2" x14ac:dyDescent="0.25">
      <c r="A303" s="7"/>
      <c r="B303" s="7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</row>
    <row r="304" spans="1:58" ht="13.2" x14ac:dyDescent="0.25">
      <c r="A304" s="7"/>
      <c r="B304" s="7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</row>
    <row r="305" spans="1:58" ht="13.2" x14ac:dyDescent="0.25">
      <c r="A305" s="7"/>
      <c r="B305" s="7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</row>
    <row r="306" spans="1:58" ht="13.2" x14ac:dyDescent="0.25">
      <c r="A306" s="7"/>
      <c r="B306" s="7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</row>
    <row r="307" spans="1:58" ht="13.2" x14ac:dyDescent="0.25">
      <c r="A307" s="7"/>
      <c r="B307" s="7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</row>
    <row r="308" spans="1:58" ht="13.2" x14ac:dyDescent="0.25">
      <c r="A308" s="7"/>
      <c r="B308" s="7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</row>
    <row r="309" spans="1:58" ht="13.2" x14ac:dyDescent="0.25">
      <c r="A309" s="7"/>
      <c r="B309" s="7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</row>
    <row r="310" spans="1:58" ht="13.2" x14ac:dyDescent="0.25">
      <c r="A310" s="7"/>
      <c r="B310" s="7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</row>
    <row r="311" spans="1:58" ht="13.2" x14ac:dyDescent="0.25">
      <c r="A311" s="7"/>
      <c r="B311" s="7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</row>
    <row r="312" spans="1:58" ht="13.2" x14ac:dyDescent="0.25">
      <c r="A312" s="7"/>
      <c r="B312" s="7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</row>
    <row r="313" spans="1:58" ht="13.2" x14ac:dyDescent="0.25">
      <c r="A313" s="7"/>
      <c r="B313" s="7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</row>
    <row r="314" spans="1:58" ht="13.2" x14ac:dyDescent="0.25">
      <c r="A314" s="7"/>
      <c r="B314" s="7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</row>
    <row r="315" spans="1:58" ht="13.2" x14ac:dyDescent="0.25">
      <c r="A315" s="7"/>
      <c r="B315" s="7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</row>
    <row r="316" spans="1:58" ht="13.2" x14ac:dyDescent="0.25">
      <c r="A316" s="7"/>
      <c r="B316" s="7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</row>
    <row r="317" spans="1:58" ht="13.2" x14ac:dyDescent="0.25">
      <c r="A317" s="7"/>
      <c r="B317" s="7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</row>
    <row r="318" spans="1:58" ht="13.2" x14ac:dyDescent="0.25">
      <c r="A318" s="7"/>
      <c r="B318" s="7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</row>
    <row r="319" spans="1:58" ht="13.2" x14ac:dyDescent="0.25">
      <c r="A319" s="7"/>
      <c r="B319" s="7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</row>
    <row r="320" spans="1:58" ht="13.2" x14ac:dyDescent="0.25">
      <c r="A320" s="7"/>
      <c r="B320" s="7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</row>
    <row r="321" spans="1:58" ht="13.2" x14ac:dyDescent="0.25">
      <c r="A321" s="7"/>
      <c r="B321" s="7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</row>
    <row r="322" spans="1:58" ht="13.2" x14ac:dyDescent="0.25">
      <c r="A322" s="7"/>
      <c r="B322" s="7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</row>
    <row r="323" spans="1:58" ht="13.2" x14ac:dyDescent="0.25">
      <c r="A323" s="7"/>
      <c r="B323" s="7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</row>
    <row r="324" spans="1:58" ht="13.2" x14ac:dyDescent="0.25">
      <c r="A324" s="7"/>
      <c r="B324" s="7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</row>
    <row r="325" spans="1:58" ht="13.2" x14ac:dyDescent="0.25">
      <c r="A325" s="7"/>
      <c r="B325" s="7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</row>
    <row r="326" spans="1:58" ht="13.2" x14ac:dyDescent="0.25">
      <c r="A326" s="7"/>
      <c r="B326" s="7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</row>
    <row r="327" spans="1:58" ht="13.2" x14ac:dyDescent="0.25">
      <c r="A327" s="7"/>
      <c r="B327" s="7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</row>
    <row r="328" spans="1:58" ht="13.2" x14ac:dyDescent="0.25">
      <c r="A328" s="7"/>
      <c r="B328" s="7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</row>
    <row r="329" spans="1:58" ht="13.2" x14ac:dyDescent="0.25">
      <c r="A329" s="7"/>
      <c r="B329" s="7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</row>
    <row r="330" spans="1:58" ht="13.2" x14ac:dyDescent="0.25">
      <c r="A330" s="7"/>
      <c r="B330" s="7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</row>
    <row r="331" spans="1:58" ht="13.2" x14ac:dyDescent="0.25">
      <c r="A331" s="7"/>
      <c r="B331" s="7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</row>
    <row r="332" spans="1:58" ht="13.2" x14ac:dyDescent="0.25">
      <c r="A332" s="7"/>
      <c r="B332" s="7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</row>
    <row r="333" spans="1:58" ht="13.2" x14ac:dyDescent="0.25">
      <c r="A333" s="7"/>
      <c r="B333" s="7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</row>
    <row r="334" spans="1:58" ht="13.2" x14ac:dyDescent="0.25">
      <c r="A334" s="7"/>
      <c r="B334" s="7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</row>
    <row r="335" spans="1:58" ht="13.2" x14ac:dyDescent="0.25">
      <c r="A335" s="7"/>
      <c r="B335" s="7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</row>
    <row r="336" spans="1:58" ht="13.2" x14ac:dyDescent="0.25">
      <c r="A336" s="7"/>
      <c r="B336" s="7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</row>
    <row r="337" spans="1:58" ht="13.2" x14ac:dyDescent="0.25">
      <c r="A337" s="7"/>
      <c r="B337" s="7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</row>
    <row r="338" spans="1:58" ht="13.2" x14ac:dyDescent="0.25">
      <c r="A338" s="7"/>
      <c r="B338" s="7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</row>
    <row r="339" spans="1:58" ht="13.2" x14ac:dyDescent="0.25">
      <c r="A339" s="7"/>
      <c r="B339" s="7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</row>
    <row r="340" spans="1:58" ht="13.2" x14ac:dyDescent="0.25">
      <c r="A340" s="7"/>
      <c r="B340" s="7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</row>
    <row r="341" spans="1:58" ht="13.2" x14ac:dyDescent="0.25">
      <c r="A341" s="7"/>
      <c r="B341" s="7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</row>
    <row r="342" spans="1:58" ht="13.2" x14ac:dyDescent="0.25">
      <c r="A342" s="7"/>
      <c r="B342" s="7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</row>
    <row r="343" spans="1:58" ht="13.2" x14ac:dyDescent="0.25">
      <c r="A343" s="7"/>
      <c r="B343" s="7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</row>
    <row r="344" spans="1:58" ht="13.2" x14ac:dyDescent="0.25">
      <c r="A344" s="7"/>
      <c r="B344" s="7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</row>
    <row r="345" spans="1:58" ht="13.2" x14ac:dyDescent="0.25">
      <c r="A345" s="7"/>
      <c r="B345" s="7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</row>
    <row r="346" spans="1:58" ht="13.2" x14ac:dyDescent="0.25">
      <c r="A346" s="7"/>
      <c r="B346" s="7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</row>
    <row r="347" spans="1:58" ht="13.2" x14ac:dyDescent="0.25">
      <c r="A347" s="7"/>
      <c r="B347" s="7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</row>
    <row r="348" spans="1:58" ht="13.2" x14ac:dyDescent="0.25">
      <c r="A348" s="7"/>
      <c r="B348" s="7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</row>
    <row r="349" spans="1:58" ht="13.2" x14ac:dyDescent="0.25">
      <c r="A349" s="7"/>
      <c r="B349" s="7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</row>
    <row r="350" spans="1:58" ht="13.2" x14ac:dyDescent="0.25">
      <c r="A350" s="7"/>
      <c r="B350" s="7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</row>
    <row r="351" spans="1:58" ht="13.2" x14ac:dyDescent="0.25">
      <c r="A351" s="7"/>
      <c r="B351" s="7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</row>
    <row r="352" spans="1:58" ht="13.2" x14ac:dyDescent="0.25">
      <c r="A352" s="7"/>
      <c r="B352" s="7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</row>
    <row r="353" spans="1:58" ht="13.2" x14ac:dyDescent="0.25">
      <c r="A353" s="7"/>
      <c r="B353" s="7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</row>
    <row r="354" spans="1:58" ht="13.2" x14ac:dyDescent="0.25">
      <c r="A354" s="7"/>
      <c r="B354" s="7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</row>
    <row r="355" spans="1:58" ht="13.2" x14ac:dyDescent="0.25">
      <c r="A355" s="7"/>
      <c r="B355" s="7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</row>
    <row r="356" spans="1:58" ht="13.2" x14ac:dyDescent="0.25">
      <c r="A356" s="7"/>
      <c r="B356" s="7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</row>
    <row r="357" spans="1:58" ht="13.2" x14ac:dyDescent="0.25">
      <c r="A357" s="7"/>
      <c r="B357" s="7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</row>
    <row r="358" spans="1:58" ht="13.2" x14ac:dyDescent="0.25">
      <c r="A358" s="7"/>
      <c r="B358" s="7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</row>
    <row r="359" spans="1:58" ht="13.2" x14ac:dyDescent="0.25">
      <c r="A359" s="7"/>
      <c r="B359" s="7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</row>
    <row r="360" spans="1:58" ht="13.2" x14ac:dyDescent="0.25">
      <c r="A360" s="7"/>
      <c r="B360" s="7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</row>
    <row r="361" spans="1:58" ht="13.2" x14ac:dyDescent="0.25">
      <c r="A361" s="7"/>
      <c r="B361" s="7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</row>
    <row r="362" spans="1:58" ht="13.2" x14ac:dyDescent="0.25">
      <c r="A362" s="7"/>
      <c r="B362" s="7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</row>
    <row r="363" spans="1:58" ht="13.2" x14ac:dyDescent="0.25">
      <c r="A363" s="7"/>
      <c r="B363" s="7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</row>
    <row r="364" spans="1:58" ht="13.2" x14ac:dyDescent="0.25">
      <c r="A364" s="7"/>
      <c r="B364" s="7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</row>
    <row r="365" spans="1:58" ht="13.2" x14ac:dyDescent="0.25">
      <c r="A365" s="7"/>
      <c r="B365" s="7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</row>
    <row r="366" spans="1:58" ht="13.2" x14ac:dyDescent="0.25">
      <c r="A366" s="7"/>
      <c r="B366" s="7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</row>
    <row r="367" spans="1:58" ht="13.2" x14ac:dyDescent="0.25">
      <c r="A367" s="7"/>
      <c r="B367" s="7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</row>
    <row r="368" spans="1:58" ht="13.2" x14ac:dyDescent="0.25">
      <c r="A368" s="7"/>
      <c r="B368" s="7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</row>
    <row r="369" spans="1:60" ht="13.2" x14ac:dyDescent="0.25">
      <c r="A369" s="7"/>
      <c r="B369" s="7"/>
      <c r="C369" s="7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</row>
    <row r="370" spans="1:60" ht="13.2" x14ac:dyDescent="0.25">
      <c r="A370" s="7"/>
      <c r="B370" s="7"/>
      <c r="C370" s="7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</row>
    <row r="371" spans="1:60" ht="13.2" x14ac:dyDescent="0.25">
      <c r="A371" s="7"/>
      <c r="B371" s="7"/>
      <c r="C371" s="7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</row>
    <row r="372" spans="1:60" ht="13.2" x14ac:dyDescent="0.25">
      <c r="A372" s="7"/>
      <c r="B372" s="7"/>
      <c r="C372" s="7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</row>
    <row r="373" spans="1:60" ht="13.2" x14ac:dyDescent="0.25">
      <c r="A373" s="7"/>
      <c r="B373" s="7"/>
      <c r="C373" s="7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</row>
    <row r="374" spans="1:60" ht="13.2" x14ac:dyDescent="0.25">
      <c r="A374" s="7"/>
      <c r="B374" s="7"/>
      <c r="C374" s="7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</row>
    <row r="375" spans="1:60" ht="13.2" x14ac:dyDescent="0.25">
      <c r="A375" s="7"/>
      <c r="B375" s="7"/>
      <c r="C375" s="7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</row>
    <row r="376" spans="1:60" ht="13.2" x14ac:dyDescent="0.25">
      <c r="A376" s="7"/>
      <c r="B376" s="7"/>
      <c r="C376" s="7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</row>
    <row r="377" spans="1:60" ht="13.2" x14ac:dyDescent="0.25">
      <c r="A377" s="7"/>
      <c r="B377" s="7"/>
      <c r="C377" s="7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</row>
    <row r="378" spans="1:60" ht="13.2" x14ac:dyDescent="0.25">
      <c r="A378" s="7"/>
      <c r="B378" s="7"/>
      <c r="C378" s="7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</row>
    <row r="379" spans="1:60" ht="13.2" x14ac:dyDescent="0.25">
      <c r="A379" s="7"/>
      <c r="B379" s="7"/>
      <c r="C379" s="7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</row>
    <row r="380" spans="1:60" ht="13.2" x14ac:dyDescent="0.25">
      <c r="A380" s="7"/>
      <c r="B380" s="7"/>
      <c r="C380" s="7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</row>
    <row r="381" spans="1:60" ht="13.2" x14ac:dyDescent="0.25">
      <c r="A381" s="7"/>
      <c r="B381" s="7"/>
      <c r="C381" s="7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</row>
    <row r="382" spans="1:60" ht="13.2" x14ac:dyDescent="0.25">
      <c r="A382" s="7"/>
      <c r="B382" s="7"/>
      <c r="C382" s="7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</row>
    <row r="383" spans="1:60" ht="13.2" x14ac:dyDescent="0.25">
      <c r="A383" s="7"/>
      <c r="B383" s="7"/>
      <c r="C383" s="7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</row>
    <row r="384" spans="1:60" ht="13.2" x14ac:dyDescent="0.25">
      <c r="A384" s="7"/>
      <c r="B384" s="7"/>
      <c r="C384" s="7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</row>
    <row r="385" spans="1:60" ht="13.2" x14ac:dyDescent="0.25">
      <c r="A385" s="7"/>
      <c r="B385" s="7"/>
      <c r="C385" s="7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</row>
    <row r="386" spans="1:60" ht="13.2" x14ac:dyDescent="0.25">
      <c r="A386" s="7"/>
      <c r="B386" s="7"/>
      <c r="C386" s="7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</row>
    <row r="387" spans="1:60" ht="13.2" x14ac:dyDescent="0.25">
      <c r="A387" s="7"/>
      <c r="B387" s="7"/>
      <c r="C387" s="7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</row>
    <row r="388" spans="1:60" ht="13.2" x14ac:dyDescent="0.25">
      <c r="A388" s="7"/>
      <c r="B388" s="7"/>
      <c r="C388" s="7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</row>
    <row r="389" spans="1:60" ht="13.2" x14ac:dyDescent="0.25">
      <c r="A389" s="7"/>
      <c r="B389" s="7"/>
      <c r="C389" s="7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</row>
    <row r="390" spans="1:60" ht="13.2" x14ac:dyDescent="0.25">
      <c r="A390" s="7"/>
      <c r="B390" s="7"/>
      <c r="C390" s="7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</row>
    <row r="391" spans="1:60" ht="13.2" x14ac:dyDescent="0.25">
      <c r="A391" s="7"/>
      <c r="B391" s="7"/>
      <c r="C391" s="7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</row>
    <row r="392" spans="1:60" ht="13.2" x14ac:dyDescent="0.25">
      <c r="A392" s="7"/>
      <c r="B392" s="7"/>
      <c r="C392" s="7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</row>
    <row r="393" spans="1:60" ht="13.2" x14ac:dyDescent="0.25">
      <c r="A393" s="7"/>
      <c r="B393" s="7"/>
      <c r="C393" s="7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</row>
    <row r="394" spans="1:60" ht="13.2" x14ac:dyDescent="0.25">
      <c r="A394" s="7"/>
      <c r="B394" s="7"/>
      <c r="C394" s="7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</row>
    <row r="395" spans="1:60" ht="13.2" x14ac:dyDescent="0.25">
      <c r="A395" s="7"/>
      <c r="B395" s="7"/>
      <c r="C395" s="7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</row>
    <row r="396" spans="1:60" ht="13.2" x14ac:dyDescent="0.25">
      <c r="A396" s="7"/>
      <c r="B396" s="7"/>
      <c r="C396" s="7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</row>
    <row r="397" spans="1:60" ht="13.2" x14ac:dyDescent="0.25">
      <c r="A397" s="7"/>
      <c r="B397" s="7"/>
      <c r="C397" s="7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</row>
    <row r="398" spans="1:60" ht="13.2" x14ac:dyDescent="0.25">
      <c r="A398" s="7"/>
      <c r="B398" s="7"/>
      <c r="C398" s="7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</row>
    <row r="399" spans="1:60" ht="13.2" x14ac:dyDescent="0.25">
      <c r="A399" s="7"/>
      <c r="B399" s="7"/>
      <c r="C399" s="7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</row>
    <row r="400" spans="1:60" ht="13.2" x14ac:dyDescent="0.25">
      <c r="A400" s="7"/>
      <c r="B400" s="7"/>
      <c r="C400" s="7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</row>
    <row r="401" spans="1:60" ht="13.2" x14ac:dyDescent="0.25">
      <c r="A401" s="7"/>
      <c r="B401" s="7"/>
      <c r="C401" s="7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</row>
    <row r="402" spans="1:60" ht="13.2" x14ac:dyDescent="0.25">
      <c r="A402" s="7"/>
      <c r="B402" s="7"/>
      <c r="C402" s="7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</row>
    <row r="403" spans="1:60" ht="13.2" x14ac:dyDescent="0.25">
      <c r="A403" s="7"/>
      <c r="B403" s="7"/>
      <c r="C403" s="7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</row>
    <row r="404" spans="1:60" ht="13.2" x14ac:dyDescent="0.25">
      <c r="A404" s="7"/>
      <c r="B404" s="7"/>
      <c r="C404" s="7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</row>
    <row r="405" spans="1:60" ht="13.2" x14ac:dyDescent="0.25">
      <c r="A405" s="7"/>
      <c r="B405" s="7"/>
      <c r="C405" s="7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</row>
    <row r="406" spans="1:60" ht="13.2" x14ac:dyDescent="0.25">
      <c r="A406" s="7"/>
      <c r="B406" s="7"/>
      <c r="C406" s="7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</row>
    <row r="407" spans="1:60" ht="13.2" x14ac:dyDescent="0.25">
      <c r="A407" s="7"/>
      <c r="B407" s="7"/>
      <c r="C407" s="7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</row>
    <row r="408" spans="1:60" ht="13.2" x14ac:dyDescent="0.25">
      <c r="A408" s="7"/>
      <c r="B408" s="7"/>
      <c r="C408" s="7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</row>
    <row r="409" spans="1:60" ht="13.2" x14ac:dyDescent="0.25">
      <c r="A409" s="7"/>
      <c r="B409" s="7"/>
      <c r="C409" s="7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</row>
    <row r="410" spans="1:60" ht="13.2" x14ac:dyDescent="0.25">
      <c r="A410" s="7"/>
      <c r="B410" s="7"/>
      <c r="C410" s="7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</row>
    <row r="411" spans="1:60" ht="13.2" x14ac:dyDescent="0.25">
      <c r="A411" s="7"/>
      <c r="B411" s="7"/>
      <c r="C411" s="7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</row>
    <row r="412" spans="1:60" ht="13.2" x14ac:dyDescent="0.25">
      <c r="A412" s="7"/>
      <c r="B412" s="7"/>
      <c r="C412" s="7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</row>
    <row r="413" spans="1:60" ht="13.2" x14ac:dyDescent="0.25">
      <c r="A413" s="7"/>
      <c r="B413" s="7"/>
      <c r="C413" s="7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</row>
    <row r="414" spans="1:60" ht="13.2" x14ac:dyDescent="0.25">
      <c r="A414" s="7"/>
      <c r="B414" s="7"/>
      <c r="C414" s="7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</row>
    <row r="415" spans="1:60" ht="13.2" x14ac:dyDescent="0.25">
      <c r="A415" s="7"/>
      <c r="B415" s="7"/>
      <c r="C415" s="7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</row>
    <row r="416" spans="1:60" ht="13.2" x14ac:dyDescent="0.25">
      <c r="A416" s="7"/>
      <c r="B416" s="7"/>
      <c r="C416" s="7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</row>
    <row r="417" spans="1:60" ht="13.2" x14ac:dyDescent="0.25">
      <c r="A417" s="7"/>
      <c r="B417" s="7"/>
      <c r="C417" s="7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</row>
    <row r="418" spans="1:60" ht="13.2" x14ac:dyDescent="0.25">
      <c r="A418" s="7"/>
      <c r="B418" s="7"/>
      <c r="C418" s="7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</row>
    <row r="419" spans="1:60" ht="13.2" x14ac:dyDescent="0.25">
      <c r="A419" s="7"/>
      <c r="B419" s="7"/>
      <c r="C419" s="7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</row>
    <row r="420" spans="1:60" ht="13.2" x14ac:dyDescent="0.25">
      <c r="A420" s="7"/>
      <c r="B420" s="7"/>
      <c r="C420" s="7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</row>
    <row r="421" spans="1:60" ht="13.2" x14ac:dyDescent="0.25">
      <c r="A421" s="7"/>
      <c r="B421" s="7"/>
      <c r="C421" s="7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</row>
    <row r="422" spans="1:60" ht="13.2" x14ac:dyDescent="0.25">
      <c r="A422" s="7"/>
      <c r="B422" s="7"/>
      <c r="C422" s="7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</row>
    <row r="423" spans="1:60" ht="13.2" x14ac:dyDescent="0.25">
      <c r="A423" s="7"/>
      <c r="B423" s="7"/>
      <c r="C423" s="7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</row>
    <row r="424" spans="1:60" ht="13.2" x14ac:dyDescent="0.25">
      <c r="A424" s="7"/>
      <c r="B424" s="7"/>
      <c r="C424" s="7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</row>
    <row r="425" spans="1:60" ht="13.2" x14ac:dyDescent="0.25">
      <c r="A425" s="7"/>
      <c r="B425" s="7"/>
      <c r="C425" s="7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</row>
    <row r="426" spans="1:60" ht="13.2" x14ac:dyDescent="0.25">
      <c r="A426" s="7"/>
      <c r="B426" s="7"/>
      <c r="C426" s="7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</row>
    <row r="427" spans="1:60" ht="13.2" x14ac:dyDescent="0.25">
      <c r="A427" s="7"/>
      <c r="B427" s="7"/>
      <c r="C427" s="7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</row>
    <row r="428" spans="1:60" ht="13.2" x14ac:dyDescent="0.25">
      <c r="A428" s="7"/>
      <c r="B428" s="7"/>
      <c r="C428" s="7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</row>
    <row r="429" spans="1:60" ht="13.2" x14ac:dyDescent="0.25">
      <c r="A429" s="7"/>
      <c r="B429" s="7"/>
      <c r="C429" s="7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</row>
    <row r="430" spans="1:60" ht="13.2" x14ac:dyDescent="0.25">
      <c r="A430" s="7"/>
      <c r="B430" s="7"/>
      <c r="C430" s="7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</row>
    <row r="431" spans="1:60" ht="13.2" x14ac:dyDescent="0.25">
      <c r="A431" s="7"/>
      <c r="B431" s="7"/>
      <c r="C431" s="7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</row>
    <row r="432" spans="1:60" ht="13.2" x14ac:dyDescent="0.25">
      <c r="A432" s="7"/>
      <c r="B432" s="7"/>
      <c r="C432" s="7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</row>
    <row r="433" spans="1:60" ht="13.2" x14ac:dyDescent="0.25">
      <c r="A433" s="7"/>
      <c r="B433" s="7"/>
      <c r="C433" s="7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</row>
    <row r="434" spans="1:60" ht="13.2" x14ac:dyDescent="0.25">
      <c r="A434" s="7"/>
      <c r="B434" s="7"/>
      <c r="C434" s="7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</row>
    <row r="435" spans="1:60" ht="13.2" x14ac:dyDescent="0.25">
      <c r="A435" s="7"/>
      <c r="B435" s="7"/>
      <c r="C435" s="7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</row>
    <row r="436" spans="1:60" ht="13.2" x14ac:dyDescent="0.25">
      <c r="A436" s="7"/>
      <c r="B436" s="7"/>
      <c r="C436" s="7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</row>
    <row r="437" spans="1:60" ht="13.2" x14ac:dyDescent="0.25">
      <c r="A437" s="7"/>
      <c r="B437" s="7"/>
      <c r="C437" s="7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</row>
    <row r="438" spans="1:60" ht="13.2" x14ac:dyDescent="0.25">
      <c r="A438" s="7"/>
      <c r="B438" s="7"/>
      <c r="C438" s="7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</row>
    <row r="439" spans="1:60" ht="13.2" x14ac:dyDescent="0.25">
      <c r="A439" s="7"/>
      <c r="B439" s="7"/>
      <c r="C439" s="7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</row>
    <row r="440" spans="1:60" ht="13.2" x14ac:dyDescent="0.25">
      <c r="A440" s="7"/>
      <c r="B440" s="7"/>
      <c r="C440" s="7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</row>
    <row r="441" spans="1:60" ht="13.2" x14ac:dyDescent="0.25">
      <c r="A441" s="7"/>
      <c r="B441" s="7"/>
      <c r="C441" s="7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</row>
    <row r="442" spans="1:60" ht="13.2" x14ac:dyDescent="0.25">
      <c r="A442" s="7"/>
      <c r="B442" s="7"/>
      <c r="C442" s="7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</row>
    <row r="443" spans="1:60" ht="13.2" x14ac:dyDescent="0.25">
      <c r="A443" s="7"/>
      <c r="B443" s="7"/>
      <c r="C443" s="7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</row>
    <row r="444" spans="1:60" ht="13.2" x14ac:dyDescent="0.25">
      <c r="A444" s="7"/>
      <c r="B444" s="7"/>
      <c r="C444" s="7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</row>
    <row r="445" spans="1:60" ht="13.2" x14ac:dyDescent="0.25">
      <c r="A445" s="7"/>
      <c r="B445" s="7"/>
      <c r="C445" s="7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</row>
    <row r="446" spans="1:60" ht="13.2" x14ac:dyDescent="0.25">
      <c r="A446" s="7"/>
      <c r="B446" s="7"/>
      <c r="C446" s="7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</row>
    <row r="447" spans="1:60" ht="13.2" x14ac:dyDescent="0.25">
      <c r="A447" s="7"/>
      <c r="B447" s="7"/>
      <c r="C447" s="7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</row>
    <row r="448" spans="1:60" ht="13.2" x14ac:dyDescent="0.25">
      <c r="A448" s="7"/>
      <c r="B448" s="7"/>
      <c r="C448" s="7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</row>
    <row r="449" spans="1:60" ht="13.2" x14ac:dyDescent="0.25">
      <c r="A449" s="7"/>
      <c r="B449" s="7"/>
      <c r="C449" s="7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</row>
    <row r="450" spans="1:60" ht="13.2" x14ac:dyDescent="0.25">
      <c r="A450" s="7"/>
      <c r="B450" s="7"/>
      <c r="C450" s="7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</row>
    <row r="451" spans="1:60" ht="13.2" x14ac:dyDescent="0.25">
      <c r="A451" s="7"/>
      <c r="B451" s="7"/>
      <c r="C451" s="7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</row>
    <row r="452" spans="1:60" ht="13.2" x14ac:dyDescent="0.25">
      <c r="A452" s="7"/>
      <c r="B452" s="7"/>
      <c r="C452" s="7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</row>
    <row r="453" spans="1:60" ht="13.2" x14ac:dyDescent="0.25">
      <c r="A453" s="7"/>
      <c r="B453" s="7"/>
      <c r="C453" s="7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</row>
    <row r="454" spans="1:60" ht="13.2" x14ac:dyDescent="0.25">
      <c r="A454" s="7"/>
      <c r="B454" s="7"/>
      <c r="C454" s="7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</row>
    <row r="455" spans="1:60" ht="13.2" x14ac:dyDescent="0.25">
      <c r="A455" s="7"/>
      <c r="B455" s="7"/>
      <c r="C455" s="7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</row>
    <row r="456" spans="1:60" ht="13.2" x14ac:dyDescent="0.25">
      <c r="A456" s="7"/>
      <c r="B456" s="7"/>
      <c r="C456" s="7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</row>
    <row r="457" spans="1:60" ht="13.2" x14ac:dyDescent="0.25">
      <c r="A457" s="7"/>
      <c r="B457" s="7"/>
      <c r="C457" s="7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</row>
    <row r="458" spans="1:60" ht="13.2" x14ac:dyDescent="0.25">
      <c r="A458" s="7"/>
      <c r="B458" s="7"/>
      <c r="C458" s="7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</row>
    <row r="459" spans="1:60" ht="13.2" x14ac:dyDescent="0.25">
      <c r="A459" s="7"/>
      <c r="B459" s="7"/>
      <c r="C459" s="7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</row>
    <row r="460" spans="1:60" ht="13.2" x14ac:dyDescent="0.25">
      <c r="A460" s="7"/>
      <c r="B460" s="7"/>
      <c r="C460" s="7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</row>
    <row r="461" spans="1:60" ht="13.2" x14ac:dyDescent="0.25">
      <c r="A461" s="7"/>
      <c r="B461" s="7"/>
      <c r="C461" s="7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</row>
    <row r="462" spans="1:60" ht="13.2" x14ac:dyDescent="0.25">
      <c r="A462" s="7"/>
      <c r="B462" s="7"/>
      <c r="C462" s="7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</row>
    <row r="463" spans="1:60" ht="13.2" x14ac:dyDescent="0.25">
      <c r="A463" s="7"/>
      <c r="B463" s="7"/>
      <c r="C463" s="7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</row>
    <row r="464" spans="1:60" ht="13.2" x14ac:dyDescent="0.25">
      <c r="A464" s="7"/>
      <c r="B464" s="7"/>
      <c r="C464" s="7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</row>
    <row r="465" spans="1:60" ht="13.2" x14ac:dyDescent="0.25">
      <c r="A465" s="7"/>
      <c r="B465" s="7"/>
      <c r="C465" s="7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</row>
    <row r="466" spans="1:60" ht="13.2" x14ac:dyDescent="0.25">
      <c r="A466" s="7"/>
      <c r="B466" s="7"/>
      <c r="C466" s="7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</row>
    <row r="467" spans="1:60" ht="13.2" x14ac:dyDescent="0.25">
      <c r="A467" s="7"/>
      <c r="B467" s="7"/>
      <c r="C467" s="7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</row>
    <row r="468" spans="1:60" ht="13.2" x14ac:dyDescent="0.25">
      <c r="A468" s="7"/>
      <c r="B468" s="7"/>
      <c r="C468" s="7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</row>
    <row r="469" spans="1:60" ht="13.2" x14ac:dyDescent="0.25">
      <c r="A469" s="7"/>
      <c r="B469" s="7"/>
      <c r="C469" s="7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</row>
    <row r="470" spans="1:60" ht="13.2" x14ac:dyDescent="0.25">
      <c r="A470" s="7"/>
      <c r="B470" s="7"/>
      <c r="C470" s="7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</row>
    <row r="471" spans="1:60" ht="13.2" x14ac:dyDescent="0.25">
      <c r="A471" s="7"/>
      <c r="B471" s="7"/>
      <c r="C471" s="7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</row>
    <row r="472" spans="1:60" ht="13.2" x14ac:dyDescent="0.25">
      <c r="A472" s="7"/>
      <c r="B472" s="7"/>
      <c r="C472" s="7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</row>
    <row r="473" spans="1:60" ht="13.2" x14ac:dyDescent="0.25">
      <c r="A473" s="7"/>
      <c r="B473" s="7"/>
      <c r="C473" s="7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</row>
    <row r="474" spans="1:60" ht="13.2" x14ac:dyDescent="0.25">
      <c r="A474" s="7"/>
      <c r="B474" s="7"/>
      <c r="C474" s="7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</row>
    <row r="475" spans="1:60" ht="13.2" x14ac:dyDescent="0.25">
      <c r="A475" s="7"/>
      <c r="B475" s="7"/>
      <c r="C475" s="7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</row>
    <row r="476" spans="1:60" ht="13.2" x14ac:dyDescent="0.25">
      <c r="A476" s="7"/>
      <c r="B476" s="7"/>
      <c r="C476" s="7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</row>
    <row r="477" spans="1:60" ht="13.2" x14ac:dyDescent="0.25">
      <c r="A477" s="7"/>
      <c r="B477" s="7"/>
      <c r="C477" s="7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</row>
    <row r="478" spans="1:60" ht="13.2" x14ac:dyDescent="0.25">
      <c r="A478" s="7"/>
      <c r="B478" s="7"/>
      <c r="C478" s="7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</row>
    <row r="479" spans="1:60" ht="13.2" x14ac:dyDescent="0.25">
      <c r="A479" s="7"/>
      <c r="B479" s="7"/>
      <c r="C479" s="7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</row>
    <row r="480" spans="1:60" ht="13.2" x14ac:dyDescent="0.25">
      <c r="A480" s="7"/>
      <c r="B480" s="7"/>
      <c r="C480" s="7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</row>
    <row r="481" spans="1:60" ht="13.2" x14ac:dyDescent="0.25">
      <c r="A481" s="7"/>
      <c r="B481" s="7"/>
      <c r="C481" s="7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</row>
    <row r="482" spans="1:60" ht="13.2" x14ac:dyDescent="0.25">
      <c r="A482" s="7"/>
      <c r="B482" s="7"/>
      <c r="C482" s="7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</row>
    <row r="483" spans="1:60" ht="13.2" x14ac:dyDescent="0.25">
      <c r="A483" s="7"/>
      <c r="B483" s="7"/>
      <c r="C483" s="7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</row>
    <row r="484" spans="1:60" ht="13.2" x14ac:dyDescent="0.25">
      <c r="A484" s="7"/>
      <c r="B484" s="7"/>
      <c r="C484" s="7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</row>
    <row r="485" spans="1:60" ht="13.2" x14ac:dyDescent="0.25">
      <c r="A485" s="7"/>
      <c r="B485" s="7"/>
      <c r="C485" s="7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</row>
    <row r="486" spans="1:60" ht="13.2" x14ac:dyDescent="0.25">
      <c r="A486" s="7"/>
      <c r="B486" s="7"/>
      <c r="C486" s="7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</row>
    <row r="487" spans="1:60" ht="13.2" x14ac:dyDescent="0.25">
      <c r="A487" s="7"/>
      <c r="B487" s="7"/>
      <c r="C487" s="7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</row>
    <row r="488" spans="1:60" ht="13.2" x14ac:dyDescent="0.25">
      <c r="A488" s="7"/>
      <c r="B488" s="7"/>
      <c r="C488" s="7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</row>
    <row r="489" spans="1:60" ht="13.2" x14ac:dyDescent="0.25">
      <c r="A489" s="7"/>
      <c r="B489" s="7"/>
      <c r="C489" s="7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</row>
    <row r="490" spans="1:60" ht="13.2" x14ac:dyDescent="0.25">
      <c r="A490" s="7"/>
      <c r="B490" s="7"/>
      <c r="C490" s="7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</row>
    <row r="491" spans="1:60" ht="13.2" x14ac:dyDescent="0.25">
      <c r="A491" s="7"/>
      <c r="B491" s="7"/>
      <c r="C491" s="7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</row>
    <row r="492" spans="1:60" ht="13.2" x14ac:dyDescent="0.25">
      <c r="A492" s="7"/>
      <c r="B492" s="7"/>
      <c r="C492" s="7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</row>
    <row r="493" spans="1:60" ht="13.2" x14ac:dyDescent="0.25">
      <c r="A493" s="7"/>
      <c r="B493" s="7"/>
      <c r="C493" s="7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</row>
    <row r="494" spans="1:60" ht="13.2" x14ac:dyDescent="0.25">
      <c r="A494" s="7"/>
      <c r="B494" s="7"/>
      <c r="C494" s="7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</row>
    <row r="495" spans="1:60" ht="13.2" x14ac:dyDescent="0.25">
      <c r="A495" s="7"/>
      <c r="B495" s="7"/>
      <c r="C495" s="7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</row>
    <row r="496" spans="1:60" ht="13.2" x14ac:dyDescent="0.25">
      <c r="A496" s="7"/>
      <c r="B496" s="7"/>
      <c r="C496" s="7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</row>
    <row r="497" spans="1:60" ht="13.2" x14ac:dyDescent="0.25">
      <c r="A497" s="7"/>
      <c r="B497" s="7"/>
      <c r="C497" s="7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</row>
    <row r="498" spans="1:60" ht="13.2" x14ac:dyDescent="0.25">
      <c r="A498" s="7"/>
      <c r="B498" s="7"/>
      <c r="C498" s="7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</row>
    <row r="499" spans="1:60" ht="13.2" x14ac:dyDescent="0.25">
      <c r="A499" s="7"/>
      <c r="B499" s="7"/>
      <c r="C499" s="7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</row>
    <row r="500" spans="1:60" ht="13.2" x14ac:dyDescent="0.25">
      <c r="A500" s="7"/>
      <c r="B500" s="7"/>
      <c r="C500" s="7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</row>
    <row r="501" spans="1:60" ht="13.2" x14ac:dyDescent="0.25">
      <c r="A501" s="7"/>
      <c r="B501" s="7"/>
      <c r="C501" s="7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</row>
    <row r="502" spans="1:60" ht="13.2" x14ac:dyDescent="0.25">
      <c r="A502" s="7"/>
      <c r="B502" s="7"/>
      <c r="C502" s="7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</row>
    <row r="503" spans="1:60" ht="13.2" x14ac:dyDescent="0.25">
      <c r="A503" s="7"/>
      <c r="B503" s="7"/>
      <c r="C503" s="7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</row>
    <row r="504" spans="1:60" ht="13.2" x14ac:dyDescent="0.25">
      <c r="A504" s="7"/>
      <c r="B504" s="7"/>
      <c r="C504" s="7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</row>
    <row r="505" spans="1:60" ht="13.2" x14ac:dyDescent="0.25">
      <c r="A505" s="7"/>
      <c r="B505" s="7"/>
      <c r="C505" s="7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</row>
    <row r="506" spans="1:60" ht="13.2" x14ac:dyDescent="0.25">
      <c r="A506" s="7"/>
      <c r="B506" s="7"/>
      <c r="C506" s="7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</row>
    <row r="507" spans="1:60" ht="13.2" x14ac:dyDescent="0.25">
      <c r="A507" s="7"/>
      <c r="B507" s="7"/>
      <c r="C507" s="7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</row>
    <row r="508" spans="1:60" ht="13.2" x14ac:dyDescent="0.25">
      <c r="A508" s="7"/>
      <c r="B508" s="7"/>
      <c r="C508" s="7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</row>
    <row r="509" spans="1:60" ht="13.2" x14ac:dyDescent="0.25">
      <c r="A509" s="7"/>
      <c r="B509" s="7"/>
      <c r="C509" s="7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</row>
    <row r="510" spans="1:60" ht="13.2" x14ac:dyDescent="0.25">
      <c r="A510" s="7"/>
      <c r="B510" s="7"/>
      <c r="C510" s="7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</row>
    <row r="511" spans="1:60" ht="13.2" x14ac:dyDescent="0.25">
      <c r="A511" s="7"/>
      <c r="B511" s="7"/>
      <c r="C511" s="7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</row>
    <row r="512" spans="1:60" ht="13.2" x14ac:dyDescent="0.25">
      <c r="A512" s="7"/>
      <c r="B512" s="7"/>
      <c r="C512" s="7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</row>
    <row r="513" spans="1:60" ht="13.2" x14ac:dyDescent="0.25">
      <c r="A513" s="7"/>
      <c r="B513" s="7"/>
      <c r="C513" s="7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</row>
    <row r="514" spans="1:60" ht="13.2" x14ac:dyDescent="0.25">
      <c r="A514" s="7"/>
      <c r="B514" s="7"/>
      <c r="C514" s="7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</row>
    <row r="515" spans="1:60" ht="13.2" x14ac:dyDescent="0.25">
      <c r="A515" s="7"/>
      <c r="B515" s="7"/>
      <c r="C515" s="7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</row>
    <row r="516" spans="1:60" ht="13.2" x14ac:dyDescent="0.25">
      <c r="A516" s="7"/>
      <c r="B516" s="7"/>
      <c r="C516" s="7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</row>
    <row r="517" spans="1:60" ht="13.2" x14ac:dyDescent="0.25">
      <c r="A517" s="7"/>
      <c r="B517" s="7"/>
      <c r="C517" s="7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</row>
    <row r="518" spans="1:60" ht="13.2" x14ac:dyDescent="0.25">
      <c r="A518" s="7"/>
      <c r="B518" s="7"/>
      <c r="C518" s="7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</row>
    <row r="519" spans="1:60" ht="13.2" x14ac:dyDescent="0.25">
      <c r="A519" s="7"/>
      <c r="B519" s="7"/>
      <c r="C519" s="7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</row>
    <row r="520" spans="1:60" ht="13.2" x14ac:dyDescent="0.25">
      <c r="A520" s="7"/>
      <c r="B520" s="7"/>
      <c r="C520" s="7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</row>
    <row r="521" spans="1:60" ht="13.2" x14ac:dyDescent="0.25">
      <c r="A521" s="7"/>
      <c r="B521" s="7"/>
      <c r="C521" s="7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</row>
    <row r="522" spans="1:60" ht="13.2" x14ac:dyDescent="0.25">
      <c r="A522" s="7"/>
      <c r="B522" s="7"/>
      <c r="C522" s="7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</row>
    <row r="523" spans="1:60" ht="13.2" x14ac:dyDescent="0.25">
      <c r="A523" s="7"/>
      <c r="B523" s="7"/>
      <c r="C523" s="7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</row>
    <row r="524" spans="1:60" ht="13.2" x14ac:dyDescent="0.25">
      <c r="A524" s="7"/>
      <c r="B524" s="7"/>
      <c r="C524" s="7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</row>
    <row r="525" spans="1:60" ht="13.2" x14ac:dyDescent="0.25">
      <c r="A525" s="7"/>
      <c r="B525" s="7"/>
      <c r="C525" s="7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</row>
    <row r="526" spans="1:60" ht="13.2" x14ac:dyDescent="0.25">
      <c r="A526" s="7"/>
      <c r="B526" s="7"/>
      <c r="C526" s="7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</row>
    <row r="527" spans="1:60" ht="13.2" x14ac:dyDescent="0.25">
      <c r="A527" s="7"/>
      <c r="B527" s="7"/>
      <c r="C527" s="7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</row>
    <row r="528" spans="1:60" ht="13.2" x14ac:dyDescent="0.25">
      <c r="A528" s="7"/>
      <c r="B528" s="7"/>
      <c r="C528" s="7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</row>
    <row r="529" spans="1:60" ht="13.2" x14ac:dyDescent="0.25">
      <c r="A529" s="7"/>
      <c r="B529" s="7"/>
      <c r="C529" s="7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</row>
    <row r="530" spans="1:60" ht="13.2" x14ac:dyDescent="0.25">
      <c r="A530" s="7"/>
      <c r="B530" s="7"/>
      <c r="C530" s="7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</row>
    <row r="531" spans="1:60" ht="13.2" x14ac:dyDescent="0.25">
      <c r="A531" s="7"/>
      <c r="B531" s="7"/>
      <c r="C531" s="7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</row>
    <row r="532" spans="1:60" ht="13.2" x14ac:dyDescent="0.25">
      <c r="A532" s="7"/>
      <c r="B532" s="7"/>
      <c r="C532" s="7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</row>
    <row r="533" spans="1:60" ht="13.2" x14ac:dyDescent="0.25">
      <c r="A533" s="7"/>
      <c r="B533" s="7"/>
      <c r="C533" s="7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</row>
    <row r="534" spans="1:60" ht="13.2" x14ac:dyDescent="0.25">
      <c r="A534" s="7"/>
      <c r="B534" s="7"/>
      <c r="C534" s="7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</row>
    <row r="535" spans="1:60" ht="13.2" x14ac:dyDescent="0.25">
      <c r="A535" s="7"/>
      <c r="B535" s="7"/>
      <c r="C535" s="7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</row>
    <row r="536" spans="1:60" ht="13.2" x14ac:dyDescent="0.25">
      <c r="A536" s="7"/>
      <c r="B536" s="7"/>
      <c r="C536" s="7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</row>
    <row r="537" spans="1:60" ht="13.2" x14ac:dyDescent="0.25">
      <c r="A537" s="7"/>
      <c r="B537" s="7"/>
      <c r="C537" s="7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</row>
    <row r="538" spans="1:60" ht="13.2" x14ac:dyDescent="0.25">
      <c r="A538" s="7"/>
      <c r="B538" s="7"/>
      <c r="C538" s="7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</row>
    <row r="539" spans="1:60" ht="13.2" x14ac:dyDescent="0.25">
      <c r="A539" s="7"/>
      <c r="B539" s="7"/>
      <c r="C539" s="7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</row>
    <row r="540" spans="1:60" ht="13.2" x14ac:dyDescent="0.25">
      <c r="A540" s="7"/>
      <c r="B540" s="7"/>
      <c r="C540" s="7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</row>
    <row r="541" spans="1:60" ht="13.2" x14ac:dyDescent="0.25">
      <c r="A541" s="7"/>
      <c r="B541" s="7"/>
      <c r="C541" s="7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</row>
    <row r="542" spans="1:60" ht="13.2" x14ac:dyDescent="0.25">
      <c r="A542" s="7"/>
      <c r="B542" s="7"/>
      <c r="C542" s="7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</row>
    <row r="543" spans="1:60" ht="13.2" x14ac:dyDescent="0.25">
      <c r="A543" s="7"/>
      <c r="B543" s="7"/>
      <c r="C543" s="7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</row>
    <row r="544" spans="1:60" ht="13.2" x14ac:dyDescent="0.25">
      <c r="A544" s="7"/>
      <c r="B544" s="7"/>
      <c r="C544" s="7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</row>
    <row r="545" spans="1:60" ht="13.2" x14ac:dyDescent="0.25">
      <c r="A545" s="7"/>
      <c r="B545" s="7"/>
      <c r="C545" s="7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</row>
    <row r="546" spans="1:60" ht="13.2" x14ac:dyDescent="0.25">
      <c r="A546" s="7"/>
      <c r="B546" s="7"/>
      <c r="C546" s="7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</row>
    <row r="547" spans="1:60" ht="13.2" x14ac:dyDescent="0.25">
      <c r="A547" s="7"/>
      <c r="B547" s="7"/>
      <c r="C547" s="7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</row>
    <row r="548" spans="1:60" ht="13.2" x14ac:dyDescent="0.25">
      <c r="A548" s="7"/>
      <c r="B548" s="7"/>
      <c r="C548" s="7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</row>
    <row r="549" spans="1:60" ht="13.2" x14ac:dyDescent="0.25">
      <c r="A549" s="7"/>
      <c r="B549" s="7"/>
      <c r="C549" s="7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</row>
    <row r="550" spans="1:60" ht="13.2" x14ac:dyDescent="0.25">
      <c r="A550" s="7"/>
      <c r="B550" s="7"/>
      <c r="C550" s="7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</row>
    <row r="551" spans="1:60" ht="13.2" x14ac:dyDescent="0.25">
      <c r="A551" s="7"/>
      <c r="B551" s="7"/>
      <c r="C551" s="7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</row>
    <row r="552" spans="1:60" ht="13.2" x14ac:dyDescent="0.25">
      <c r="A552" s="7"/>
      <c r="B552" s="7"/>
      <c r="C552" s="7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</row>
    <row r="553" spans="1:60" ht="13.2" x14ac:dyDescent="0.25">
      <c r="A553" s="7"/>
      <c r="B553" s="7"/>
      <c r="C553" s="7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</row>
    <row r="554" spans="1:60" ht="13.2" x14ac:dyDescent="0.25">
      <c r="A554" s="7"/>
      <c r="B554" s="7"/>
      <c r="C554" s="7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</row>
    <row r="555" spans="1:60" ht="13.2" x14ac:dyDescent="0.25">
      <c r="A555" s="7"/>
      <c r="B555" s="7"/>
      <c r="C555" s="7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</row>
    <row r="556" spans="1:60" ht="13.2" x14ac:dyDescent="0.25">
      <c r="A556" s="7"/>
      <c r="B556" s="7"/>
      <c r="C556" s="7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</row>
    <row r="557" spans="1:60" ht="13.2" x14ac:dyDescent="0.25">
      <c r="A557" s="7"/>
      <c r="B557" s="7"/>
      <c r="C557" s="7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</row>
    <row r="558" spans="1:60" ht="13.2" x14ac:dyDescent="0.25">
      <c r="A558" s="7"/>
      <c r="B558" s="7"/>
      <c r="C558" s="7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</row>
    <row r="559" spans="1:60" ht="13.2" x14ac:dyDescent="0.25">
      <c r="A559" s="7"/>
      <c r="B559" s="7"/>
      <c r="C559" s="7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</row>
    <row r="560" spans="1:60" ht="13.2" x14ac:dyDescent="0.25">
      <c r="A560" s="7"/>
      <c r="B560" s="7"/>
      <c r="C560" s="7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</row>
    <row r="561" spans="1:60" ht="13.2" x14ac:dyDescent="0.25">
      <c r="A561" s="7"/>
      <c r="B561" s="7"/>
      <c r="C561" s="7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</row>
    <row r="562" spans="1:60" ht="13.2" x14ac:dyDescent="0.25">
      <c r="A562" s="7"/>
      <c r="B562" s="7"/>
      <c r="C562" s="7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</row>
    <row r="563" spans="1:60" ht="13.2" x14ac:dyDescent="0.25">
      <c r="A563" s="7"/>
      <c r="B563" s="7"/>
      <c r="C563" s="7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</row>
    <row r="564" spans="1:60" ht="13.2" x14ac:dyDescent="0.25">
      <c r="A564" s="7"/>
      <c r="B564" s="7"/>
      <c r="C564" s="7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</row>
    <row r="565" spans="1:60" ht="13.2" x14ac:dyDescent="0.25">
      <c r="A565" s="7"/>
      <c r="B565" s="7"/>
      <c r="C565" s="7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</row>
    <row r="566" spans="1:60" ht="13.2" x14ac:dyDescent="0.25">
      <c r="A566" s="7"/>
      <c r="B566" s="7"/>
      <c r="C566" s="7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</row>
    <row r="567" spans="1:60" ht="13.2" x14ac:dyDescent="0.25">
      <c r="A567" s="7"/>
      <c r="B567" s="7"/>
      <c r="C567" s="7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</row>
    <row r="568" spans="1:60" ht="13.2" x14ac:dyDescent="0.25">
      <c r="A568" s="7"/>
      <c r="B568" s="7"/>
      <c r="C568" s="7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</row>
    <row r="569" spans="1:60" ht="13.2" x14ac:dyDescent="0.25">
      <c r="A569" s="7"/>
      <c r="B569" s="7"/>
      <c r="C569" s="7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</row>
    <row r="570" spans="1:60" ht="13.2" x14ac:dyDescent="0.25">
      <c r="A570" s="7"/>
      <c r="B570" s="7"/>
      <c r="C570" s="7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</row>
    <row r="571" spans="1:60" ht="13.2" x14ac:dyDescent="0.25">
      <c r="A571" s="7"/>
      <c r="B571" s="7"/>
      <c r="C571" s="7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</row>
    <row r="572" spans="1:60" ht="13.2" x14ac:dyDescent="0.25">
      <c r="A572" s="7"/>
      <c r="B572" s="7"/>
      <c r="C572" s="7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</row>
    <row r="573" spans="1:60" ht="13.2" x14ac:dyDescent="0.25">
      <c r="A573" s="7"/>
      <c r="B573" s="7"/>
      <c r="C573" s="7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</row>
    <row r="574" spans="1:60" ht="13.2" x14ac:dyDescent="0.25">
      <c r="A574" s="7"/>
      <c r="B574" s="7"/>
      <c r="C574" s="7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</row>
    <row r="575" spans="1:60" ht="13.2" x14ac:dyDescent="0.25">
      <c r="A575" s="7"/>
      <c r="B575" s="7"/>
      <c r="C575" s="7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</row>
    <row r="576" spans="1:60" ht="13.2" x14ac:dyDescent="0.25">
      <c r="A576" s="7"/>
      <c r="B576" s="7"/>
      <c r="C576" s="7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</row>
    <row r="577" spans="1:60" ht="13.2" x14ac:dyDescent="0.25">
      <c r="A577" s="7"/>
      <c r="B577" s="7"/>
      <c r="C577" s="7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</row>
    <row r="578" spans="1:60" ht="13.2" x14ac:dyDescent="0.25">
      <c r="A578" s="7"/>
      <c r="B578" s="7"/>
      <c r="C578" s="7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</row>
    <row r="579" spans="1:60" ht="13.2" x14ac:dyDescent="0.25">
      <c r="A579" s="7"/>
      <c r="B579" s="7"/>
      <c r="C579" s="7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</row>
    <row r="580" spans="1:60" ht="13.2" x14ac:dyDescent="0.25">
      <c r="A580" s="7"/>
      <c r="B580" s="7"/>
      <c r="C580" s="7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</row>
    <row r="581" spans="1:60" ht="13.2" x14ac:dyDescent="0.25">
      <c r="A581" s="7"/>
      <c r="B581" s="7"/>
      <c r="C581" s="7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</row>
    <row r="582" spans="1:60" ht="13.2" x14ac:dyDescent="0.25">
      <c r="A582" s="7"/>
      <c r="B582" s="7"/>
      <c r="C582" s="7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</row>
    <row r="583" spans="1:60" ht="13.2" x14ac:dyDescent="0.25">
      <c r="A583" s="7"/>
      <c r="B583" s="7"/>
      <c r="C583" s="7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</row>
    <row r="584" spans="1:60" ht="13.2" x14ac:dyDescent="0.25">
      <c r="A584" s="7"/>
      <c r="B584" s="7"/>
      <c r="C584" s="7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</row>
    <row r="585" spans="1:60" ht="13.2" x14ac:dyDescent="0.25">
      <c r="A585" s="7"/>
      <c r="B585" s="7"/>
      <c r="C585" s="7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</row>
    <row r="586" spans="1:60" ht="13.2" x14ac:dyDescent="0.25">
      <c r="A586" s="7"/>
      <c r="B586" s="7"/>
      <c r="C586" s="7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</row>
    <row r="587" spans="1:60" ht="13.2" x14ac:dyDescent="0.25">
      <c r="A587" s="7"/>
      <c r="B587" s="7"/>
      <c r="C587" s="7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</row>
    <row r="588" spans="1:60" ht="13.2" x14ac:dyDescent="0.25">
      <c r="A588" s="7"/>
      <c r="B588" s="7"/>
      <c r="C588" s="7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</row>
    <row r="589" spans="1:60" ht="13.2" x14ac:dyDescent="0.25">
      <c r="A589" s="7"/>
      <c r="B589" s="7"/>
      <c r="C589" s="7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</row>
    <row r="590" spans="1:60" ht="13.2" x14ac:dyDescent="0.25">
      <c r="A590" s="7"/>
      <c r="B590" s="7"/>
      <c r="C590" s="7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</row>
    <row r="591" spans="1:60" ht="13.2" x14ac:dyDescent="0.25">
      <c r="A591" s="7"/>
      <c r="B591" s="7"/>
      <c r="C591" s="7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</row>
    <row r="592" spans="1:60" ht="13.2" x14ac:dyDescent="0.25">
      <c r="A592" s="7"/>
      <c r="B592" s="7"/>
      <c r="C592" s="7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</row>
    <row r="593" spans="1:60" ht="13.2" x14ac:dyDescent="0.25">
      <c r="A593" s="7"/>
      <c r="B593" s="7"/>
      <c r="C593" s="7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</row>
    <row r="594" spans="1:60" ht="13.2" x14ac:dyDescent="0.25">
      <c r="A594" s="7"/>
      <c r="B594" s="7"/>
      <c r="C594" s="7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</row>
    <row r="595" spans="1:60" ht="13.2" x14ac:dyDescent="0.25">
      <c r="A595" s="7"/>
      <c r="B595" s="7"/>
      <c r="C595" s="7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</row>
    <row r="596" spans="1:60" ht="13.2" x14ac:dyDescent="0.25">
      <c r="A596" s="7"/>
      <c r="B596" s="7"/>
      <c r="C596" s="7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</row>
    <row r="597" spans="1:60" ht="13.2" x14ac:dyDescent="0.25">
      <c r="A597" s="7"/>
      <c r="B597" s="7"/>
      <c r="C597" s="7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</row>
    <row r="598" spans="1:60" ht="13.2" x14ac:dyDescent="0.25">
      <c r="A598" s="7"/>
      <c r="B598" s="7"/>
      <c r="C598" s="7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</row>
    <row r="599" spans="1:60" ht="13.2" x14ac:dyDescent="0.25">
      <c r="A599" s="7"/>
      <c r="B599" s="7"/>
      <c r="C599" s="7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</row>
    <row r="600" spans="1:60" ht="13.2" x14ac:dyDescent="0.25">
      <c r="A600" s="7"/>
      <c r="B600" s="7"/>
      <c r="C600" s="7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</row>
    <row r="601" spans="1:60" ht="13.2" x14ac:dyDescent="0.25">
      <c r="A601" s="7"/>
      <c r="B601" s="7"/>
      <c r="C601" s="7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</row>
    <row r="602" spans="1:60" ht="13.2" x14ac:dyDescent="0.25">
      <c r="A602" s="7"/>
      <c r="B602" s="7"/>
      <c r="C602" s="7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</row>
    <row r="603" spans="1:60" ht="13.2" x14ac:dyDescent="0.25">
      <c r="A603" s="7"/>
      <c r="B603" s="7"/>
      <c r="C603" s="7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</row>
    <row r="604" spans="1:60" ht="13.2" x14ac:dyDescent="0.25">
      <c r="A604" s="7"/>
      <c r="B604" s="7"/>
      <c r="C604" s="7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</row>
    <row r="605" spans="1:60" ht="13.2" x14ac:dyDescent="0.25">
      <c r="A605" s="7"/>
      <c r="B605" s="7"/>
      <c r="C605" s="7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</row>
    <row r="606" spans="1:60" ht="13.2" x14ac:dyDescent="0.25">
      <c r="A606" s="7"/>
      <c r="B606" s="7"/>
      <c r="C606" s="7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</row>
    <row r="607" spans="1:60" ht="13.2" x14ac:dyDescent="0.25">
      <c r="A607" s="7"/>
      <c r="B607" s="7"/>
      <c r="C607" s="7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</row>
    <row r="608" spans="1:60" ht="13.2" x14ac:dyDescent="0.25">
      <c r="A608" s="7"/>
      <c r="B608" s="7"/>
      <c r="C608" s="7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</row>
    <row r="609" spans="1:60" ht="13.2" x14ac:dyDescent="0.25">
      <c r="A609" s="7"/>
      <c r="B609" s="7"/>
      <c r="C609" s="7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</row>
    <row r="610" spans="1:60" ht="13.2" x14ac:dyDescent="0.25">
      <c r="A610" s="7"/>
      <c r="B610" s="7"/>
      <c r="C610" s="7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</row>
    <row r="611" spans="1:60" ht="13.2" x14ac:dyDescent="0.25">
      <c r="A611" s="7"/>
      <c r="B611" s="7"/>
      <c r="C611" s="7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</row>
    <row r="612" spans="1:60" ht="13.2" x14ac:dyDescent="0.25">
      <c r="A612" s="7"/>
      <c r="B612" s="7"/>
      <c r="C612" s="7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</row>
    <row r="613" spans="1:60" ht="13.2" x14ac:dyDescent="0.25">
      <c r="A613" s="7"/>
      <c r="B613" s="7"/>
      <c r="C613" s="7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</row>
    <row r="614" spans="1:60" ht="13.2" x14ac:dyDescent="0.25">
      <c r="A614" s="7"/>
      <c r="B614" s="7"/>
      <c r="C614" s="7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</row>
    <row r="615" spans="1:60" ht="13.2" x14ac:dyDescent="0.25">
      <c r="A615" s="7"/>
      <c r="B615" s="7"/>
      <c r="C615" s="7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</row>
    <row r="616" spans="1:60" ht="13.2" x14ac:dyDescent="0.25">
      <c r="A616" s="7"/>
      <c r="B616" s="7"/>
      <c r="C616" s="7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</row>
    <row r="617" spans="1:60" ht="13.2" x14ac:dyDescent="0.25">
      <c r="A617" s="7"/>
      <c r="B617" s="7"/>
      <c r="C617" s="7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</row>
    <row r="618" spans="1:60" ht="13.2" x14ac:dyDescent="0.25">
      <c r="A618" s="7"/>
      <c r="B618" s="7"/>
      <c r="C618" s="7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</row>
    <row r="619" spans="1:60" ht="13.2" x14ac:dyDescent="0.25">
      <c r="A619" s="7"/>
      <c r="B619" s="7"/>
      <c r="C619" s="7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</row>
    <row r="620" spans="1:60" ht="13.2" x14ac:dyDescent="0.25">
      <c r="A620" s="7"/>
      <c r="B620" s="7"/>
      <c r="C620" s="7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</row>
    <row r="621" spans="1:60" ht="13.2" x14ac:dyDescent="0.25">
      <c r="A621" s="7"/>
      <c r="B621" s="7"/>
      <c r="C621" s="7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</row>
    <row r="622" spans="1:60" ht="13.2" x14ac:dyDescent="0.25">
      <c r="A622" s="7"/>
      <c r="B622" s="7"/>
      <c r="C622" s="7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</row>
    <row r="623" spans="1:60" ht="13.2" x14ac:dyDescent="0.25">
      <c r="A623" s="7"/>
      <c r="B623" s="7"/>
      <c r="C623" s="7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</row>
    <row r="624" spans="1:60" ht="13.2" x14ac:dyDescent="0.25">
      <c r="A624" s="7"/>
      <c r="B624" s="7"/>
      <c r="C624" s="7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</row>
    <row r="625" spans="1:60" ht="13.2" x14ac:dyDescent="0.25">
      <c r="A625" s="7"/>
      <c r="B625" s="7"/>
      <c r="C625" s="7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</row>
    <row r="626" spans="1:60" ht="13.2" x14ac:dyDescent="0.25">
      <c r="A626" s="7"/>
      <c r="B626" s="7"/>
      <c r="C626" s="7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</row>
    <row r="627" spans="1:60" ht="13.2" x14ac:dyDescent="0.25">
      <c r="A627" s="7"/>
      <c r="B627" s="7"/>
      <c r="C627" s="7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</row>
    <row r="628" spans="1:60" ht="13.2" x14ac:dyDescent="0.25">
      <c r="A628" s="7"/>
      <c r="B628" s="7"/>
      <c r="C628" s="7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</row>
    <row r="629" spans="1:60" ht="13.2" x14ac:dyDescent="0.25">
      <c r="A629" s="7"/>
      <c r="B629" s="7"/>
      <c r="C629" s="7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</row>
    <row r="630" spans="1:60" ht="13.2" x14ac:dyDescent="0.25">
      <c r="A630" s="7"/>
      <c r="B630" s="7"/>
      <c r="C630" s="7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</row>
    <row r="631" spans="1:60" ht="13.2" x14ac:dyDescent="0.25">
      <c r="A631" s="7"/>
      <c r="B631" s="7"/>
      <c r="C631" s="7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</row>
    <row r="632" spans="1:60" ht="13.2" x14ac:dyDescent="0.25">
      <c r="A632" s="7"/>
      <c r="B632" s="7"/>
      <c r="C632" s="7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</row>
    <row r="633" spans="1:60" ht="13.2" x14ac:dyDescent="0.25">
      <c r="A633" s="7"/>
      <c r="B633" s="7"/>
      <c r="C633" s="7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</row>
    <row r="634" spans="1:60" ht="13.2" x14ac:dyDescent="0.25">
      <c r="A634" s="7"/>
      <c r="B634" s="7"/>
      <c r="C634" s="7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</row>
    <row r="635" spans="1:60" ht="13.2" x14ac:dyDescent="0.25">
      <c r="A635" s="7"/>
      <c r="B635" s="7"/>
      <c r="C635" s="7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</row>
    <row r="636" spans="1:60" ht="13.2" x14ac:dyDescent="0.25">
      <c r="A636" s="7"/>
      <c r="B636" s="7"/>
      <c r="C636" s="7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</row>
    <row r="637" spans="1:60" ht="13.2" x14ac:dyDescent="0.25">
      <c r="A637" s="7"/>
      <c r="B637" s="7"/>
      <c r="C637" s="7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</row>
    <row r="638" spans="1:60" ht="13.2" x14ac:dyDescent="0.25">
      <c r="A638" s="7"/>
      <c r="B638" s="7"/>
      <c r="C638" s="7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</row>
    <row r="639" spans="1:60" ht="13.2" x14ac:dyDescent="0.25">
      <c r="A639" s="7"/>
      <c r="B639" s="7"/>
      <c r="C639" s="7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</row>
    <row r="640" spans="1:60" ht="13.2" x14ac:dyDescent="0.25">
      <c r="A640" s="7"/>
      <c r="B640" s="7"/>
      <c r="C640" s="7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</row>
    <row r="641" spans="1:60" ht="13.2" x14ac:dyDescent="0.25">
      <c r="A641" s="7"/>
      <c r="B641" s="7"/>
      <c r="C641" s="7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</row>
    <row r="642" spans="1:60" ht="13.2" x14ac:dyDescent="0.25">
      <c r="A642" s="7"/>
      <c r="B642" s="7"/>
      <c r="C642" s="7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</row>
    <row r="643" spans="1:60" ht="13.2" x14ac:dyDescent="0.25">
      <c r="A643" s="7"/>
      <c r="B643" s="7"/>
      <c r="C643" s="7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</row>
    <row r="644" spans="1:60" ht="13.2" x14ac:dyDescent="0.25">
      <c r="A644" s="7"/>
      <c r="B644" s="7"/>
      <c r="C644" s="7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</row>
    <row r="645" spans="1:60" ht="13.2" x14ac:dyDescent="0.25">
      <c r="A645" s="7"/>
      <c r="B645" s="7"/>
      <c r="C645" s="7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</row>
    <row r="646" spans="1:60" ht="13.2" x14ac:dyDescent="0.25">
      <c r="A646" s="7"/>
      <c r="B646" s="7"/>
      <c r="C646" s="7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</row>
    <row r="647" spans="1:60" ht="13.2" x14ac:dyDescent="0.25">
      <c r="A647" s="7"/>
      <c r="B647" s="7"/>
      <c r="C647" s="7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</row>
    <row r="648" spans="1:60" ht="13.2" x14ac:dyDescent="0.25">
      <c r="A648" s="7"/>
      <c r="B648" s="7"/>
      <c r="C648" s="7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</row>
    <row r="649" spans="1:60" ht="13.2" x14ac:dyDescent="0.25">
      <c r="A649" s="7"/>
      <c r="B649" s="7"/>
      <c r="C649" s="7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</row>
    <row r="650" spans="1:60" ht="13.2" x14ac:dyDescent="0.25">
      <c r="A650" s="7"/>
      <c r="B650" s="7"/>
      <c r="C650" s="7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</row>
    <row r="651" spans="1:60" ht="13.2" x14ac:dyDescent="0.25">
      <c r="A651" s="7"/>
      <c r="B651" s="7"/>
      <c r="C651" s="7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</row>
    <row r="652" spans="1:60" ht="13.2" x14ac:dyDescent="0.25">
      <c r="A652" s="7"/>
      <c r="B652" s="7"/>
      <c r="C652" s="7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</row>
    <row r="653" spans="1:60" ht="13.2" x14ac:dyDescent="0.25">
      <c r="A653" s="7"/>
      <c r="B653" s="7"/>
      <c r="C653" s="7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</row>
    <row r="654" spans="1:60" ht="13.2" x14ac:dyDescent="0.25">
      <c r="A654" s="7"/>
      <c r="B654" s="7"/>
      <c r="C654" s="7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</row>
    <row r="655" spans="1:60" ht="13.2" x14ac:dyDescent="0.25">
      <c r="A655" s="7"/>
      <c r="B655" s="7"/>
      <c r="C655" s="7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</row>
    <row r="656" spans="1:60" ht="13.2" x14ac:dyDescent="0.25">
      <c r="A656" s="7"/>
      <c r="B656" s="7"/>
      <c r="C656" s="7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</row>
    <row r="657" spans="1:60" ht="13.2" x14ac:dyDescent="0.25">
      <c r="A657" s="7"/>
      <c r="B657" s="7"/>
      <c r="C657" s="7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</row>
    <row r="658" spans="1:60" ht="13.2" x14ac:dyDescent="0.25">
      <c r="A658" s="7"/>
      <c r="B658" s="7"/>
      <c r="C658" s="7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</row>
    <row r="659" spans="1:60" ht="13.2" x14ac:dyDescent="0.25">
      <c r="A659" s="7"/>
      <c r="B659" s="7"/>
      <c r="C659" s="7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</row>
    <row r="660" spans="1:60" ht="13.2" x14ac:dyDescent="0.25">
      <c r="A660" s="7"/>
      <c r="B660" s="7"/>
      <c r="C660" s="7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</row>
    <row r="661" spans="1:60" ht="13.2" x14ac:dyDescent="0.25">
      <c r="A661" s="7"/>
      <c r="B661" s="7"/>
      <c r="C661" s="7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</row>
    <row r="662" spans="1:60" ht="13.2" x14ac:dyDescent="0.25">
      <c r="A662" s="7"/>
      <c r="B662" s="7"/>
      <c r="C662" s="7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</row>
    <row r="663" spans="1:60" ht="13.2" x14ac:dyDescent="0.25">
      <c r="A663" s="7"/>
      <c r="B663" s="7"/>
      <c r="C663" s="7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</row>
    <row r="664" spans="1:60" ht="13.2" x14ac:dyDescent="0.25">
      <c r="A664" s="7"/>
      <c r="B664" s="7"/>
      <c r="C664" s="7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</row>
    <row r="665" spans="1:60" ht="13.2" x14ac:dyDescent="0.25">
      <c r="A665" s="7"/>
      <c r="B665" s="7"/>
      <c r="C665" s="7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</row>
    <row r="666" spans="1:60" ht="13.2" x14ac:dyDescent="0.25">
      <c r="A666" s="7"/>
      <c r="B666" s="7"/>
      <c r="C666" s="7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</row>
    <row r="667" spans="1:60" ht="13.2" x14ac:dyDescent="0.25">
      <c r="A667" s="7"/>
      <c r="B667" s="7"/>
      <c r="C667" s="7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</row>
    <row r="668" spans="1:60" ht="13.2" x14ac:dyDescent="0.25">
      <c r="A668" s="7"/>
      <c r="B668" s="7"/>
      <c r="C668" s="7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</row>
    <row r="669" spans="1:60" ht="13.2" x14ac:dyDescent="0.25">
      <c r="A669" s="7"/>
      <c r="B669" s="7"/>
      <c r="C669" s="7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</row>
    <row r="670" spans="1:60" ht="13.2" x14ac:dyDescent="0.25">
      <c r="A670" s="7"/>
      <c r="B670" s="7"/>
      <c r="C670" s="7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</row>
    <row r="671" spans="1:60" ht="13.2" x14ac:dyDescent="0.25">
      <c r="A671" s="7"/>
      <c r="B671" s="7"/>
      <c r="C671" s="7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</row>
    <row r="672" spans="1:60" ht="13.2" x14ac:dyDescent="0.25">
      <c r="A672" s="7"/>
      <c r="B672" s="7"/>
      <c r="C672" s="7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</row>
    <row r="673" spans="1:60" ht="13.2" x14ac:dyDescent="0.25">
      <c r="A673" s="7"/>
      <c r="B673" s="7"/>
      <c r="C673" s="7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</row>
    <row r="674" spans="1:60" ht="13.2" x14ac:dyDescent="0.25">
      <c r="A674" s="7"/>
      <c r="B674" s="7"/>
      <c r="C674" s="7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</row>
    <row r="675" spans="1:60" ht="13.2" x14ac:dyDescent="0.25">
      <c r="A675" s="7"/>
      <c r="B675" s="7"/>
      <c r="C675" s="7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</row>
    <row r="676" spans="1:60" ht="13.2" x14ac:dyDescent="0.25">
      <c r="A676" s="7"/>
      <c r="B676" s="7"/>
      <c r="C676" s="7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</row>
    <row r="677" spans="1:60" ht="13.2" x14ac:dyDescent="0.25">
      <c r="A677" s="7"/>
      <c r="B677" s="7"/>
      <c r="C677" s="7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</row>
    <row r="678" spans="1:60" ht="13.2" x14ac:dyDescent="0.25">
      <c r="A678" s="7"/>
      <c r="B678" s="7"/>
      <c r="C678" s="7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</row>
    <row r="679" spans="1:60" ht="13.2" x14ac:dyDescent="0.25">
      <c r="A679" s="7"/>
      <c r="B679" s="7"/>
      <c r="C679" s="7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</row>
    <row r="680" spans="1:60" ht="13.2" x14ac:dyDescent="0.25">
      <c r="A680" s="7"/>
      <c r="B680" s="7"/>
      <c r="C680" s="7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</row>
    <row r="681" spans="1:60" ht="13.2" x14ac:dyDescent="0.25">
      <c r="A681" s="7"/>
      <c r="B681" s="7"/>
      <c r="C681" s="7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</row>
    <row r="682" spans="1:60" ht="13.2" x14ac:dyDescent="0.25">
      <c r="A682" s="7"/>
      <c r="B682" s="7"/>
      <c r="C682" s="7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</row>
    <row r="683" spans="1:60" ht="13.2" x14ac:dyDescent="0.25">
      <c r="A683" s="7"/>
      <c r="B683" s="7"/>
      <c r="C683" s="7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</row>
    <row r="684" spans="1:60" ht="13.2" x14ac:dyDescent="0.25">
      <c r="A684" s="7"/>
      <c r="B684" s="7"/>
      <c r="C684" s="7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</row>
    <row r="685" spans="1:60" ht="13.2" x14ac:dyDescent="0.25">
      <c r="A685" s="7"/>
      <c r="B685" s="7"/>
      <c r="C685" s="7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</row>
    <row r="686" spans="1:60" ht="13.2" x14ac:dyDescent="0.25">
      <c r="A686" s="7"/>
      <c r="B686" s="7"/>
      <c r="C686" s="7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</row>
    <row r="687" spans="1:60" ht="13.2" x14ac:dyDescent="0.25">
      <c r="A687" s="7"/>
      <c r="B687" s="7"/>
      <c r="C687" s="7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</row>
    <row r="688" spans="1:60" ht="13.2" x14ac:dyDescent="0.25">
      <c r="A688" s="7"/>
      <c r="B688" s="7"/>
      <c r="C688" s="7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</row>
    <row r="689" spans="1:60" ht="13.2" x14ac:dyDescent="0.25">
      <c r="A689" s="7"/>
      <c r="B689" s="7"/>
      <c r="C689" s="7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</row>
    <row r="690" spans="1:60" ht="13.2" x14ac:dyDescent="0.25">
      <c r="A690" s="7"/>
      <c r="B690" s="7"/>
      <c r="C690" s="7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</row>
    <row r="691" spans="1:60" ht="13.2" x14ac:dyDescent="0.25">
      <c r="A691" s="7"/>
      <c r="B691" s="7"/>
      <c r="C691" s="7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</row>
    <row r="692" spans="1:60" ht="13.2" x14ac:dyDescent="0.25">
      <c r="A692" s="7"/>
      <c r="B692" s="7"/>
      <c r="C692" s="7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</row>
    <row r="693" spans="1:60" ht="13.2" x14ac:dyDescent="0.25">
      <c r="A693" s="7"/>
      <c r="B693" s="7"/>
      <c r="C693" s="7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</row>
    <row r="694" spans="1:60" ht="13.2" x14ac:dyDescent="0.25">
      <c r="A694" s="7"/>
      <c r="B694" s="7"/>
      <c r="C694" s="7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</row>
    <row r="695" spans="1:60" ht="13.2" x14ac:dyDescent="0.25">
      <c r="A695" s="7"/>
      <c r="B695" s="7"/>
      <c r="C695" s="7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</row>
    <row r="696" spans="1:60" ht="13.2" x14ac:dyDescent="0.25">
      <c r="A696" s="7"/>
      <c r="B696" s="7"/>
      <c r="C696" s="7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</row>
    <row r="697" spans="1:60" ht="13.2" x14ac:dyDescent="0.25">
      <c r="A697" s="7"/>
      <c r="B697" s="7"/>
      <c r="C697" s="7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</row>
    <row r="698" spans="1:60" ht="13.2" x14ac:dyDescent="0.25">
      <c r="A698" s="7"/>
      <c r="B698" s="7"/>
      <c r="C698" s="7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</row>
    <row r="699" spans="1:60" ht="13.2" x14ac:dyDescent="0.25">
      <c r="A699" s="7"/>
      <c r="B699" s="7"/>
      <c r="C699" s="7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</row>
    <row r="700" spans="1:60" ht="13.2" x14ac:dyDescent="0.25">
      <c r="A700" s="7"/>
      <c r="B700" s="7"/>
      <c r="C700" s="7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</row>
    <row r="701" spans="1:60" ht="13.2" x14ac:dyDescent="0.25">
      <c r="A701" s="7"/>
      <c r="B701" s="7"/>
      <c r="C701" s="7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</row>
    <row r="702" spans="1:60" ht="13.2" x14ac:dyDescent="0.25">
      <c r="A702" s="7"/>
      <c r="B702" s="7"/>
      <c r="C702" s="7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</row>
    <row r="703" spans="1:60" ht="13.2" x14ac:dyDescent="0.25">
      <c r="A703" s="7"/>
      <c r="B703" s="7"/>
      <c r="C703" s="7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</row>
    <row r="704" spans="1:60" ht="13.2" x14ac:dyDescent="0.25">
      <c r="A704" s="7"/>
      <c r="B704" s="7"/>
      <c r="C704" s="7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</row>
    <row r="705" spans="1:60" ht="13.2" x14ac:dyDescent="0.25">
      <c r="A705" s="7"/>
      <c r="B705" s="7"/>
      <c r="C705" s="7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</row>
    <row r="706" spans="1:60" ht="13.2" x14ac:dyDescent="0.25">
      <c r="A706" s="7"/>
      <c r="B706" s="7"/>
      <c r="C706" s="7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</row>
    <row r="707" spans="1:60" ht="13.2" x14ac:dyDescent="0.25">
      <c r="A707" s="7"/>
      <c r="B707" s="7"/>
      <c r="C707" s="7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</row>
    <row r="708" spans="1:60" ht="13.2" x14ac:dyDescent="0.25">
      <c r="A708" s="7"/>
      <c r="B708" s="7"/>
      <c r="C708" s="7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</row>
    <row r="709" spans="1:60" ht="13.2" x14ac:dyDescent="0.25">
      <c r="A709" s="7"/>
      <c r="B709" s="7"/>
      <c r="C709" s="7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</row>
    <row r="710" spans="1:60" ht="13.2" x14ac:dyDescent="0.25">
      <c r="A710" s="7"/>
      <c r="B710" s="7"/>
      <c r="C710" s="7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</row>
    <row r="711" spans="1:60" ht="13.2" x14ac:dyDescent="0.25">
      <c r="A711" s="7"/>
      <c r="B711" s="7"/>
      <c r="C711" s="7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</row>
    <row r="712" spans="1:60" ht="13.2" x14ac:dyDescent="0.25">
      <c r="A712" s="7"/>
      <c r="B712" s="7"/>
      <c r="C712" s="7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</row>
    <row r="713" spans="1:60" ht="13.2" x14ac:dyDescent="0.25">
      <c r="A713" s="7"/>
      <c r="B713" s="7"/>
      <c r="C713" s="7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</row>
    <row r="714" spans="1:60" ht="13.2" x14ac:dyDescent="0.25">
      <c r="A714" s="7"/>
      <c r="B714" s="7"/>
      <c r="C714" s="7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</row>
    <row r="715" spans="1:60" ht="13.2" x14ac:dyDescent="0.25">
      <c r="A715" s="7"/>
      <c r="B715" s="7"/>
      <c r="C715" s="7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</row>
    <row r="716" spans="1:60" ht="13.2" x14ac:dyDescent="0.25">
      <c r="A716" s="7"/>
      <c r="B716" s="7"/>
      <c r="C716" s="7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</row>
    <row r="717" spans="1:60" ht="13.2" x14ac:dyDescent="0.25">
      <c r="A717" s="7"/>
      <c r="B717" s="7"/>
      <c r="C717" s="7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</row>
    <row r="718" spans="1:60" ht="13.2" x14ac:dyDescent="0.25">
      <c r="A718" s="7"/>
      <c r="B718" s="7"/>
      <c r="C718" s="7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</row>
    <row r="719" spans="1:60" ht="13.2" x14ac:dyDescent="0.25">
      <c r="A719" s="7"/>
      <c r="B719" s="7"/>
      <c r="C719" s="7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</row>
    <row r="720" spans="1:60" ht="13.2" x14ac:dyDescent="0.25">
      <c r="A720" s="7"/>
      <c r="B720" s="7"/>
      <c r="C720" s="7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</row>
    <row r="721" spans="1:60" ht="13.2" x14ac:dyDescent="0.25">
      <c r="A721" s="7"/>
      <c r="B721" s="7"/>
      <c r="C721" s="7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</row>
    <row r="722" spans="1:60" ht="13.2" x14ac:dyDescent="0.25">
      <c r="A722" s="7"/>
      <c r="B722" s="7"/>
      <c r="C722" s="7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</row>
    <row r="723" spans="1:60" ht="13.2" x14ac:dyDescent="0.25">
      <c r="A723" s="7"/>
      <c r="B723" s="7"/>
      <c r="C723" s="7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</row>
    <row r="724" spans="1:60" ht="13.2" x14ac:dyDescent="0.25">
      <c r="A724" s="7"/>
      <c r="B724" s="7"/>
      <c r="C724" s="7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</row>
    <row r="725" spans="1:60" ht="13.2" x14ac:dyDescent="0.25">
      <c r="A725" s="7"/>
      <c r="B725" s="7"/>
      <c r="C725" s="7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</row>
    <row r="726" spans="1:60" ht="13.2" x14ac:dyDescent="0.25">
      <c r="A726" s="7"/>
      <c r="B726" s="7"/>
      <c r="C726" s="7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</row>
    <row r="727" spans="1:60" ht="13.2" x14ac:dyDescent="0.25">
      <c r="A727" s="7"/>
      <c r="B727" s="7"/>
      <c r="C727" s="7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</row>
    <row r="728" spans="1:60" ht="13.2" x14ac:dyDescent="0.25">
      <c r="A728" s="7"/>
      <c r="B728" s="7"/>
      <c r="C728" s="7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</row>
    <row r="729" spans="1:60" ht="13.2" x14ac:dyDescent="0.25">
      <c r="A729" s="7"/>
      <c r="B729" s="7"/>
      <c r="C729" s="7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</row>
    <row r="730" spans="1:60" ht="13.2" x14ac:dyDescent="0.25">
      <c r="A730" s="7"/>
      <c r="B730" s="7"/>
      <c r="C730" s="7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</row>
    <row r="731" spans="1:60" ht="13.2" x14ac:dyDescent="0.25">
      <c r="A731" s="7"/>
      <c r="B731" s="7"/>
      <c r="C731" s="7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</row>
    <row r="732" spans="1:60" ht="13.2" x14ac:dyDescent="0.25">
      <c r="A732" s="7"/>
      <c r="B732" s="7"/>
      <c r="C732" s="7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</row>
    <row r="733" spans="1:60" ht="13.2" x14ac:dyDescent="0.25">
      <c r="A733" s="7"/>
      <c r="B733" s="7"/>
      <c r="C733" s="7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</row>
    <row r="734" spans="1:60" ht="13.2" x14ac:dyDescent="0.25">
      <c r="A734" s="7"/>
      <c r="B734" s="7"/>
      <c r="C734" s="7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</row>
    <row r="735" spans="1:60" ht="13.2" x14ac:dyDescent="0.25">
      <c r="A735" s="7"/>
      <c r="B735" s="7"/>
      <c r="C735" s="7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</row>
    <row r="736" spans="1:60" ht="13.2" x14ac:dyDescent="0.25">
      <c r="A736" s="7"/>
      <c r="B736" s="7"/>
      <c r="C736" s="7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</row>
    <row r="737" spans="1:60" ht="13.2" x14ac:dyDescent="0.25">
      <c r="A737" s="7"/>
      <c r="B737" s="7"/>
      <c r="C737" s="7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</row>
    <row r="738" spans="1:60" ht="13.2" x14ac:dyDescent="0.25">
      <c r="A738" s="7"/>
      <c r="B738" s="7"/>
      <c r="C738" s="7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</row>
    <row r="739" spans="1:60" ht="13.2" x14ac:dyDescent="0.25">
      <c r="A739" s="7"/>
      <c r="B739" s="7"/>
      <c r="C739" s="7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</row>
    <row r="740" spans="1:60" ht="13.2" x14ac:dyDescent="0.25">
      <c r="A740" s="7"/>
      <c r="B740" s="7"/>
      <c r="C740" s="7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</row>
    <row r="741" spans="1:60" ht="13.2" x14ac:dyDescent="0.25">
      <c r="A741" s="7"/>
      <c r="B741" s="7"/>
      <c r="C741" s="7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</row>
    <row r="742" spans="1:60" ht="13.2" x14ac:dyDescent="0.25">
      <c r="A742" s="7"/>
      <c r="B742" s="7"/>
      <c r="C742" s="7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</row>
    <row r="743" spans="1:60" ht="13.2" x14ac:dyDescent="0.25">
      <c r="A743" s="7"/>
      <c r="B743" s="7"/>
      <c r="C743" s="7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</row>
    <row r="744" spans="1:60" ht="13.2" x14ac:dyDescent="0.25">
      <c r="A744" s="7"/>
      <c r="B744" s="7"/>
      <c r="C744" s="7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</row>
    <row r="745" spans="1:60" ht="13.2" x14ac:dyDescent="0.25">
      <c r="A745" s="7"/>
      <c r="B745" s="7"/>
      <c r="C745" s="7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</row>
    <row r="746" spans="1:60" ht="13.2" x14ac:dyDescent="0.25">
      <c r="A746" s="7"/>
      <c r="B746" s="7"/>
      <c r="C746" s="7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</row>
    <row r="747" spans="1:60" ht="13.2" x14ac:dyDescent="0.25">
      <c r="A747" s="7"/>
      <c r="B747" s="7"/>
      <c r="C747" s="7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</row>
    <row r="748" spans="1:60" ht="13.2" x14ac:dyDescent="0.25">
      <c r="A748" s="7"/>
      <c r="B748" s="7"/>
      <c r="C748" s="7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</row>
    <row r="749" spans="1:60" ht="13.2" x14ac:dyDescent="0.25">
      <c r="A749" s="7"/>
      <c r="B749" s="7"/>
      <c r="C749" s="7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</row>
    <row r="750" spans="1:60" ht="13.2" x14ac:dyDescent="0.25">
      <c r="A750" s="7"/>
      <c r="B750" s="7"/>
      <c r="C750" s="7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</row>
    <row r="751" spans="1:60" ht="13.2" x14ac:dyDescent="0.25">
      <c r="A751" s="7"/>
      <c r="B751" s="7"/>
      <c r="C751" s="7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</row>
    <row r="752" spans="1:60" ht="13.2" x14ac:dyDescent="0.25">
      <c r="A752" s="7"/>
      <c r="B752" s="7"/>
      <c r="C752" s="7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</row>
    <row r="753" spans="1:60" ht="13.2" x14ac:dyDescent="0.25">
      <c r="A753" s="7"/>
      <c r="B753" s="7"/>
      <c r="C753" s="7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</row>
    <row r="754" spans="1:60" ht="13.2" x14ac:dyDescent="0.25">
      <c r="A754" s="7"/>
      <c r="B754" s="7"/>
      <c r="C754" s="7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</row>
    <row r="755" spans="1:60" ht="13.2" x14ac:dyDescent="0.25">
      <c r="A755" s="7"/>
      <c r="B755" s="7"/>
      <c r="C755" s="7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</row>
    <row r="756" spans="1:60" ht="13.2" x14ac:dyDescent="0.25">
      <c r="A756" s="7"/>
      <c r="B756" s="7"/>
      <c r="C756" s="7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</row>
    <row r="757" spans="1:60" ht="13.2" x14ac:dyDescent="0.25">
      <c r="A757" s="7"/>
      <c r="B757" s="7"/>
      <c r="C757" s="7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</row>
    <row r="758" spans="1:60" ht="13.2" x14ac:dyDescent="0.25">
      <c r="A758" s="7"/>
      <c r="B758" s="7"/>
      <c r="C758" s="7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</row>
    <row r="759" spans="1:60" ht="13.2" x14ac:dyDescent="0.25">
      <c r="A759" s="7"/>
      <c r="B759" s="7"/>
      <c r="C759" s="7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</row>
    <row r="760" spans="1:60" ht="13.2" x14ac:dyDescent="0.25">
      <c r="A760" s="7"/>
      <c r="B760" s="7"/>
      <c r="C760" s="7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</row>
    <row r="761" spans="1:60" ht="13.2" x14ac:dyDescent="0.25">
      <c r="A761" s="7"/>
      <c r="B761" s="7"/>
      <c r="C761" s="7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</row>
    <row r="762" spans="1:60" ht="13.2" x14ac:dyDescent="0.25">
      <c r="A762" s="7"/>
      <c r="B762" s="7"/>
      <c r="C762" s="7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</row>
    <row r="763" spans="1:60" ht="13.2" x14ac:dyDescent="0.25">
      <c r="A763" s="7"/>
      <c r="B763" s="7"/>
      <c r="C763" s="7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</row>
    <row r="764" spans="1:60" ht="13.2" x14ac:dyDescent="0.25">
      <c r="A764" s="7"/>
      <c r="B764" s="7"/>
      <c r="C764" s="7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</row>
    <row r="765" spans="1:60" ht="13.2" x14ac:dyDescent="0.25">
      <c r="A765" s="7"/>
      <c r="B765" s="7"/>
      <c r="C765" s="7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</row>
    <row r="766" spans="1:60" ht="13.2" x14ac:dyDescent="0.25">
      <c r="A766" s="7"/>
      <c r="B766" s="7"/>
      <c r="C766" s="7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</row>
    <row r="767" spans="1:60" ht="13.2" x14ac:dyDescent="0.25">
      <c r="A767" s="7"/>
      <c r="B767" s="7"/>
      <c r="C767" s="7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</row>
    <row r="768" spans="1:60" ht="13.2" x14ac:dyDescent="0.25">
      <c r="A768" s="7"/>
      <c r="B768" s="7"/>
      <c r="C768" s="7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</row>
    <row r="769" spans="1:60" ht="13.2" x14ac:dyDescent="0.25">
      <c r="A769" s="7"/>
      <c r="B769" s="7"/>
      <c r="C769" s="7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</row>
    <row r="770" spans="1:60" ht="13.2" x14ac:dyDescent="0.25">
      <c r="A770" s="7"/>
      <c r="B770" s="7"/>
      <c r="C770" s="7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</row>
    <row r="771" spans="1:60" ht="13.2" x14ac:dyDescent="0.25">
      <c r="A771" s="7"/>
      <c r="B771" s="7"/>
      <c r="C771" s="7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</row>
    <row r="772" spans="1:60" ht="13.2" x14ac:dyDescent="0.25">
      <c r="A772" s="7"/>
      <c r="B772" s="7"/>
      <c r="C772" s="7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</row>
    <row r="773" spans="1:60" ht="13.2" x14ac:dyDescent="0.25">
      <c r="A773" s="7"/>
      <c r="B773" s="7"/>
      <c r="C773" s="7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</row>
    <row r="774" spans="1:60" ht="13.2" x14ac:dyDescent="0.25">
      <c r="A774" s="7"/>
      <c r="B774" s="7"/>
      <c r="C774" s="7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</row>
    <row r="775" spans="1:60" ht="13.2" x14ac:dyDescent="0.25">
      <c r="A775" s="7"/>
      <c r="B775" s="7"/>
      <c r="C775" s="7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</row>
    <row r="776" spans="1:60" ht="13.2" x14ac:dyDescent="0.25">
      <c r="A776" s="7"/>
      <c r="B776" s="7"/>
      <c r="C776" s="7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</row>
    <row r="777" spans="1:60" ht="13.2" x14ac:dyDescent="0.25">
      <c r="A777" s="7"/>
      <c r="B777" s="7"/>
      <c r="C777" s="7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</row>
    <row r="778" spans="1:60" ht="13.2" x14ac:dyDescent="0.25">
      <c r="A778" s="7"/>
      <c r="B778" s="7"/>
      <c r="C778" s="7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</row>
    <row r="779" spans="1:60" ht="13.2" x14ac:dyDescent="0.25">
      <c r="A779" s="7"/>
      <c r="B779" s="7"/>
      <c r="C779" s="7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</row>
    <row r="780" spans="1:60" ht="13.2" x14ac:dyDescent="0.25">
      <c r="A780" s="7"/>
      <c r="B780" s="7"/>
      <c r="C780" s="7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</row>
    <row r="781" spans="1:60" ht="13.2" x14ac:dyDescent="0.25">
      <c r="A781" s="7"/>
      <c r="B781" s="7"/>
      <c r="C781" s="7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</row>
    <row r="782" spans="1:60" ht="13.2" x14ac:dyDescent="0.25">
      <c r="A782" s="7"/>
      <c r="B782" s="7"/>
      <c r="C782" s="7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</row>
    <row r="783" spans="1:60" ht="13.2" x14ac:dyDescent="0.25">
      <c r="A783" s="7"/>
      <c r="B783" s="7"/>
      <c r="C783" s="7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</row>
    <row r="784" spans="1:60" ht="13.2" x14ac:dyDescent="0.25">
      <c r="A784" s="7"/>
      <c r="B784" s="7"/>
      <c r="C784" s="7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</row>
    <row r="785" spans="1:60" ht="13.2" x14ac:dyDescent="0.25">
      <c r="A785" s="7"/>
      <c r="B785" s="7"/>
      <c r="C785" s="7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</row>
    <row r="786" spans="1:60" ht="13.2" x14ac:dyDescent="0.25">
      <c r="A786" s="7"/>
      <c r="B786" s="7"/>
      <c r="C786" s="7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</row>
    <row r="787" spans="1:60" ht="13.2" x14ac:dyDescent="0.25">
      <c r="A787" s="7"/>
      <c r="B787" s="7"/>
      <c r="C787" s="7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</row>
    <row r="788" spans="1:60" ht="13.2" x14ac:dyDescent="0.25">
      <c r="A788" s="7"/>
      <c r="B788" s="7"/>
      <c r="C788" s="7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</row>
    <row r="789" spans="1:60" ht="13.2" x14ac:dyDescent="0.25">
      <c r="A789" s="7"/>
      <c r="B789" s="7"/>
      <c r="C789" s="7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</row>
    <row r="790" spans="1:60" ht="13.2" x14ac:dyDescent="0.25">
      <c r="A790" s="7"/>
      <c r="B790" s="7"/>
      <c r="C790" s="7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</row>
    <row r="791" spans="1:60" ht="13.2" x14ac:dyDescent="0.25">
      <c r="A791" s="7"/>
      <c r="B791" s="7"/>
      <c r="C791" s="7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</row>
    <row r="792" spans="1:60" ht="13.2" x14ac:dyDescent="0.25">
      <c r="A792" s="7"/>
      <c r="B792" s="7"/>
      <c r="C792" s="7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</row>
    <row r="793" spans="1:60" ht="13.2" x14ac:dyDescent="0.25">
      <c r="A793" s="7"/>
      <c r="B793" s="7"/>
      <c r="C793" s="7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</row>
    <row r="794" spans="1:60" ht="13.2" x14ac:dyDescent="0.25">
      <c r="A794" s="7"/>
      <c r="B794" s="7"/>
      <c r="C794" s="7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</row>
    <row r="795" spans="1:60" ht="13.2" x14ac:dyDescent="0.25">
      <c r="A795" s="7"/>
      <c r="B795" s="7"/>
      <c r="C795" s="7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</row>
    <row r="796" spans="1:60" ht="13.2" x14ac:dyDescent="0.25">
      <c r="A796" s="7"/>
      <c r="B796" s="7"/>
      <c r="C796" s="7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</row>
    <row r="797" spans="1:60" ht="13.2" x14ac:dyDescent="0.25">
      <c r="A797" s="7"/>
      <c r="B797" s="7"/>
      <c r="C797" s="7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</row>
    <row r="798" spans="1:60" ht="13.2" x14ac:dyDescent="0.25">
      <c r="A798" s="7"/>
      <c r="B798" s="7"/>
      <c r="C798" s="7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</row>
    <row r="799" spans="1:60" ht="13.2" x14ac:dyDescent="0.25">
      <c r="A799" s="7"/>
      <c r="B799" s="7"/>
      <c r="C799" s="7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</row>
    <row r="800" spans="1:60" ht="13.2" x14ac:dyDescent="0.25">
      <c r="A800" s="7"/>
      <c r="B800" s="7"/>
      <c r="C800" s="7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</row>
    <row r="801" spans="1:60" ht="13.2" x14ac:dyDescent="0.25">
      <c r="A801" s="7"/>
      <c r="B801" s="7"/>
      <c r="C801" s="7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</row>
    <row r="802" spans="1:60" ht="13.2" x14ac:dyDescent="0.25">
      <c r="A802" s="7"/>
      <c r="B802" s="7"/>
      <c r="C802" s="7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</row>
    <row r="803" spans="1:60" ht="13.2" x14ac:dyDescent="0.25">
      <c r="A803" s="7"/>
      <c r="B803" s="7"/>
      <c r="C803" s="7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</row>
    <row r="804" spans="1:60" ht="13.2" x14ac:dyDescent="0.25">
      <c r="A804" s="7"/>
      <c r="B804" s="7"/>
      <c r="C804" s="7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</row>
    <row r="805" spans="1:60" ht="13.2" x14ac:dyDescent="0.25">
      <c r="A805" s="7"/>
      <c r="B805" s="7"/>
      <c r="C805" s="7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</row>
    <row r="806" spans="1:60" ht="13.2" x14ac:dyDescent="0.25">
      <c r="A806" s="7"/>
      <c r="B806" s="7"/>
      <c r="C806" s="7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</row>
    <row r="807" spans="1:60" ht="13.2" x14ac:dyDescent="0.25">
      <c r="A807" s="7"/>
      <c r="B807" s="7"/>
      <c r="C807" s="7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</row>
    <row r="808" spans="1:60" ht="13.2" x14ac:dyDescent="0.25">
      <c r="A808" s="7"/>
      <c r="B808" s="7"/>
      <c r="C808" s="7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</row>
    <row r="809" spans="1:60" ht="13.2" x14ac:dyDescent="0.25">
      <c r="A809" s="7"/>
      <c r="B809" s="7"/>
      <c r="C809" s="7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</row>
    <row r="810" spans="1:60" ht="13.2" x14ac:dyDescent="0.25">
      <c r="A810" s="7"/>
      <c r="B810" s="7"/>
      <c r="C810" s="7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</row>
    <row r="811" spans="1:60" ht="13.2" x14ac:dyDescent="0.25">
      <c r="A811" s="7"/>
      <c r="B811" s="7"/>
      <c r="C811" s="7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</row>
    <row r="812" spans="1:60" ht="13.2" x14ac:dyDescent="0.25">
      <c r="A812" s="7"/>
      <c r="B812" s="7"/>
      <c r="C812" s="7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</row>
    <row r="813" spans="1:60" ht="13.2" x14ac:dyDescent="0.25">
      <c r="A813" s="7"/>
      <c r="B813" s="7"/>
      <c r="C813" s="7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</row>
    <row r="814" spans="1:60" ht="13.2" x14ac:dyDescent="0.25">
      <c r="A814" s="7"/>
      <c r="B814" s="7"/>
      <c r="C814" s="7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</row>
    <row r="815" spans="1:60" ht="13.2" x14ac:dyDescent="0.25">
      <c r="A815" s="7"/>
      <c r="B815" s="7"/>
      <c r="C815" s="7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</row>
    <row r="816" spans="1:60" ht="13.2" x14ac:dyDescent="0.25">
      <c r="A816" s="7"/>
      <c r="B816" s="7"/>
      <c r="C816" s="7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</row>
    <row r="817" spans="1:60" ht="13.2" x14ac:dyDescent="0.25">
      <c r="A817" s="7"/>
      <c r="B817" s="7"/>
      <c r="C817" s="7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</row>
    <row r="818" spans="1:60" ht="13.2" x14ac:dyDescent="0.25">
      <c r="A818" s="7"/>
      <c r="B818" s="7"/>
      <c r="C818" s="7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</row>
    <row r="819" spans="1:60" ht="13.2" x14ac:dyDescent="0.25">
      <c r="A819" s="7"/>
      <c r="B819" s="7"/>
      <c r="C819" s="7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</row>
    <row r="820" spans="1:60" ht="13.2" x14ac:dyDescent="0.25">
      <c r="A820" s="7"/>
      <c r="B820" s="7"/>
      <c r="C820" s="7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</row>
    <row r="821" spans="1:60" ht="13.2" x14ac:dyDescent="0.25">
      <c r="A821" s="7"/>
      <c r="B821" s="7"/>
      <c r="C821" s="7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</row>
    <row r="822" spans="1:60" ht="13.2" x14ac:dyDescent="0.25">
      <c r="A822" s="7"/>
      <c r="B822" s="7"/>
      <c r="C822" s="7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</row>
    <row r="823" spans="1:60" ht="13.2" x14ac:dyDescent="0.25">
      <c r="A823" s="7"/>
      <c r="B823" s="7"/>
      <c r="C823" s="7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</row>
    <row r="824" spans="1:60" ht="13.2" x14ac:dyDescent="0.25">
      <c r="A824" s="7"/>
      <c r="B824" s="7"/>
      <c r="C824" s="7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</row>
    <row r="825" spans="1:60" ht="13.2" x14ac:dyDescent="0.25">
      <c r="A825" s="7"/>
      <c r="B825" s="7"/>
      <c r="C825" s="7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</row>
    <row r="826" spans="1:60" ht="13.2" x14ac:dyDescent="0.25">
      <c r="A826" s="7"/>
      <c r="B826" s="7"/>
      <c r="C826" s="7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</row>
    <row r="827" spans="1:60" ht="13.2" x14ac:dyDescent="0.25">
      <c r="A827" s="7"/>
      <c r="B827" s="7"/>
      <c r="C827" s="7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</row>
    <row r="828" spans="1:60" ht="13.2" x14ac:dyDescent="0.25">
      <c r="A828" s="7"/>
      <c r="B828" s="7"/>
      <c r="C828" s="7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</row>
    <row r="829" spans="1:60" ht="13.2" x14ac:dyDescent="0.25">
      <c r="A829" s="7"/>
      <c r="B829" s="7"/>
      <c r="C829" s="7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</row>
    <row r="830" spans="1:60" ht="13.2" x14ac:dyDescent="0.25">
      <c r="A830" s="7"/>
      <c r="B830" s="7"/>
      <c r="C830" s="7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</row>
    <row r="831" spans="1:60" ht="13.2" x14ac:dyDescent="0.25">
      <c r="A831" s="7"/>
      <c r="B831" s="7"/>
      <c r="C831" s="7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</row>
    <row r="832" spans="1:60" ht="13.2" x14ac:dyDescent="0.25">
      <c r="A832" s="7"/>
      <c r="B832" s="7"/>
      <c r="C832" s="7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</row>
    <row r="833" spans="1:60" ht="13.2" x14ac:dyDescent="0.25">
      <c r="A833" s="7"/>
      <c r="B833" s="7"/>
      <c r="C833" s="7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</row>
    <row r="834" spans="1:60" ht="13.2" x14ac:dyDescent="0.25">
      <c r="A834" s="7"/>
      <c r="B834" s="7"/>
      <c r="C834" s="7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</row>
    <row r="835" spans="1:60" ht="13.2" x14ac:dyDescent="0.25">
      <c r="A835" s="7"/>
      <c r="B835" s="7"/>
      <c r="C835" s="7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</row>
    <row r="836" spans="1:60" ht="13.2" x14ac:dyDescent="0.25">
      <c r="A836" s="7"/>
      <c r="B836" s="7"/>
      <c r="C836" s="7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</row>
    <row r="837" spans="1:60" ht="13.2" x14ac:dyDescent="0.25">
      <c r="A837" s="7"/>
      <c r="B837" s="7"/>
      <c r="C837" s="7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</row>
    <row r="838" spans="1:60" ht="13.2" x14ac:dyDescent="0.25">
      <c r="A838" s="7"/>
      <c r="B838" s="7"/>
      <c r="C838" s="7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</row>
    <row r="839" spans="1:60" ht="13.2" x14ac:dyDescent="0.25">
      <c r="A839" s="7"/>
      <c r="B839" s="7"/>
      <c r="C839" s="7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</row>
    <row r="840" spans="1:60" ht="13.2" x14ac:dyDescent="0.25">
      <c r="A840" s="7"/>
      <c r="B840" s="7"/>
      <c r="C840" s="7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</row>
    <row r="841" spans="1:60" ht="13.2" x14ac:dyDescent="0.25">
      <c r="A841" s="7"/>
      <c r="B841" s="7"/>
      <c r="C841" s="7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</row>
    <row r="842" spans="1:60" ht="13.2" x14ac:dyDescent="0.25">
      <c r="A842" s="7"/>
      <c r="B842" s="7"/>
      <c r="C842" s="7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</row>
    <row r="843" spans="1:60" ht="13.2" x14ac:dyDescent="0.25">
      <c r="A843" s="7"/>
      <c r="B843" s="7"/>
      <c r="C843" s="7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</row>
    <row r="844" spans="1:60" ht="13.2" x14ac:dyDescent="0.25">
      <c r="A844" s="7"/>
      <c r="B844" s="7"/>
      <c r="C844" s="7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</row>
    <row r="845" spans="1:60" ht="13.2" x14ac:dyDescent="0.25">
      <c r="A845" s="7"/>
      <c r="B845" s="7"/>
      <c r="C845" s="7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</row>
    <row r="846" spans="1:60" ht="13.2" x14ac:dyDescent="0.25">
      <c r="A846" s="7"/>
      <c r="B846" s="7"/>
      <c r="C846" s="7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</row>
    <row r="847" spans="1:60" ht="13.2" x14ac:dyDescent="0.25">
      <c r="A847" s="7"/>
      <c r="B847" s="7"/>
      <c r="C847" s="7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</row>
    <row r="848" spans="1:60" ht="13.2" x14ac:dyDescent="0.25">
      <c r="A848" s="7"/>
      <c r="B848" s="7"/>
      <c r="C848" s="7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</row>
    <row r="849" spans="1:60" ht="13.2" x14ac:dyDescent="0.25">
      <c r="A849" s="7"/>
      <c r="B849" s="7"/>
      <c r="C849" s="7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</row>
    <row r="850" spans="1:60" ht="13.2" x14ac:dyDescent="0.25">
      <c r="A850" s="7"/>
      <c r="B850" s="7"/>
      <c r="C850" s="7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</row>
    <row r="851" spans="1:60" ht="13.2" x14ac:dyDescent="0.25">
      <c r="A851" s="7"/>
      <c r="B851" s="7"/>
      <c r="C851" s="7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</row>
    <row r="852" spans="1:60" ht="13.2" x14ac:dyDescent="0.25">
      <c r="A852" s="7"/>
      <c r="B852" s="7"/>
      <c r="C852" s="7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</row>
    <row r="853" spans="1:60" ht="13.2" x14ac:dyDescent="0.25">
      <c r="A853" s="7"/>
      <c r="B853" s="7"/>
      <c r="C853" s="7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</row>
    <row r="854" spans="1:60" ht="13.2" x14ac:dyDescent="0.25">
      <c r="A854" s="7"/>
      <c r="B854" s="7"/>
      <c r="C854" s="7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</row>
    <row r="855" spans="1:60" ht="13.2" x14ac:dyDescent="0.25">
      <c r="A855" s="7"/>
      <c r="B855" s="7"/>
      <c r="C855" s="7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</row>
    <row r="856" spans="1:60" ht="13.2" x14ac:dyDescent="0.25">
      <c r="A856" s="7"/>
      <c r="B856" s="7"/>
      <c r="C856" s="7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</row>
    <row r="857" spans="1:60" ht="13.2" x14ac:dyDescent="0.25">
      <c r="A857" s="7"/>
      <c r="B857" s="7"/>
      <c r="C857" s="7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</row>
    <row r="858" spans="1:60" ht="13.2" x14ac:dyDescent="0.25">
      <c r="A858" s="7"/>
      <c r="B858" s="7"/>
      <c r="C858" s="7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</row>
    <row r="859" spans="1:60" ht="13.2" x14ac:dyDescent="0.25">
      <c r="A859" s="7"/>
      <c r="B859" s="7"/>
      <c r="C859" s="7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</row>
    <row r="860" spans="1:60" ht="13.2" x14ac:dyDescent="0.25">
      <c r="A860" s="7"/>
      <c r="B860" s="7"/>
      <c r="C860" s="7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</row>
    <row r="861" spans="1:60" ht="13.2" x14ac:dyDescent="0.25">
      <c r="A861" s="7"/>
      <c r="B861" s="7"/>
      <c r="C861" s="7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</row>
    <row r="862" spans="1:60" ht="13.2" x14ac:dyDescent="0.25">
      <c r="A862" s="7"/>
      <c r="B862" s="7"/>
      <c r="C862" s="7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</row>
    <row r="863" spans="1:60" ht="13.2" x14ac:dyDescent="0.25">
      <c r="A863" s="7"/>
      <c r="B863" s="7"/>
      <c r="C863" s="7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</row>
    <row r="864" spans="1:60" ht="13.2" x14ac:dyDescent="0.25">
      <c r="A864" s="7"/>
      <c r="B864" s="7"/>
      <c r="C864" s="7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</row>
    <row r="865" spans="1:60" ht="13.2" x14ac:dyDescent="0.25">
      <c r="A865" s="7"/>
      <c r="B865" s="7"/>
      <c r="C865" s="7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</row>
    <row r="866" spans="1:60" ht="13.2" x14ac:dyDescent="0.25">
      <c r="A866" s="7"/>
      <c r="B866" s="7"/>
      <c r="C866" s="7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</row>
    <row r="867" spans="1:60" ht="13.2" x14ac:dyDescent="0.25">
      <c r="A867" s="7"/>
      <c r="B867" s="7"/>
      <c r="C867" s="7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</row>
    <row r="868" spans="1:60" ht="13.2" x14ac:dyDescent="0.25">
      <c r="A868" s="7"/>
      <c r="B868" s="7"/>
      <c r="C868" s="7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</row>
    <row r="869" spans="1:60" ht="13.2" x14ac:dyDescent="0.25">
      <c r="A869" s="7"/>
      <c r="B869" s="7"/>
      <c r="C869" s="7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</row>
    <row r="870" spans="1:60" ht="13.2" x14ac:dyDescent="0.25">
      <c r="A870" s="7"/>
      <c r="B870" s="7"/>
      <c r="C870" s="7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</row>
    <row r="871" spans="1:60" ht="13.2" x14ac:dyDescent="0.25">
      <c r="A871" s="7"/>
      <c r="B871" s="7"/>
      <c r="C871" s="7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</row>
    <row r="872" spans="1:60" ht="13.2" x14ac:dyDescent="0.25">
      <c r="A872" s="7"/>
      <c r="B872" s="7"/>
      <c r="C872" s="7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</row>
    <row r="873" spans="1:60" ht="13.2" x14ac:dyDescent="0.25">
      <c r="A873" s="7"/>
      <c r="B873" s="7"/>
      <c r="C873" s="7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</row>
    <row r="874" spans="1:60" ht="13.2" x14ac:dyDescent="0.25">
      <c r="A874" s="7"/>
      <c r="B874" s="7"/>
      <c r="C874" s="7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</row>
    <row r="875" spans="1:60" ht="13.2" x14ac:dyDescent="0.25">
      <c r="A875" s="7"/>
      <c r="B875" s="7"/>
      <c r="C875" s="7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</row>
    <row r="876" spans="1:60" ht="13.2" x14ac:dyDescent="0.25">
      <c r="A876" s="7"/>
      <c r="B876" s="7"/>
      <c r="C876" s="7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</row>
    <row r="877" spans="1:60" ht="13.2" x14ac:dyDescent="0.25">
      <c r="A877" s="7"/>
      <c r="B877" s="7"/>
      <c r="C877" s="7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</row>
    <row r="878" spans="1:60" ht="13.2" x14ac:dyDescent="0.25">
      <c r="A878" s="7"/>
      <c r="B878" s="7"/>
      <c r="C878" s="7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</row>
    <row r="879" spans="1:60" ht="13.2" x14ac:dyDescent="0.25">
      <c r="A879" s="7"/>
      <c r="B879" s="7"/>
      <c r="C879" s="7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</row>
    <row r="880" spans="1:60" ht="13.2" x14ac:dyDescent="0.25">
      <c r="A880" s="7"/>
      <c r="B880" s="7"/>
      <c r="C880" s="7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</row>
    <row r="881" spans="1:60" ht="13.2" x14ac:dyDescent="0.25">
      <c r="A881" s="7"/>
      <c r="B881" s="7"/>
      <c r="C881" s="7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</row>
    <row r="882" spans="1:60" ht="13.2" x14ac:dyDescent="0.25">
      <c r="A882" s="7"/>
      <c r="B882" s="7"/>
      <c r="C882" s="7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</row>
    <row r="883" spans="1:60" ht="13.2" x14ac:dyDescent="0.25">
      <c r="A883" s="7"/>
      <c r="B883" s="7"/>
      <c r="C883" s="7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</row>
    <row r="884" spans="1:60" ht="13.2" x14ac:dyDescent="0.25">
      <c r="A884" s="7"/>
      <c r="B884" s="7"/>
      <c r="C884" s="7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</row>
    <row r="885" spans="1:60" ht="13.2" x14ac:dyDescent="0.25">
      <c r="A885" s="7"/>
      <c r="B885" s="7"/>
      <c r="C885" s="7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</row>
    <row r="886" spans="1:60" ht="13.2" x14ac:dyDescent="0.25">
      <c r="A886" s="7"/>
      <c r="B886" s="7"/>
      <c r="C886" s="7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</row>
    <row r="887" spans="1:60" ht="13.2" x14ac:dyDescent="0.25">
      <c r="A887" s="7"/>
      <c r="B887" s="7"/>
      <c r="C887" s="7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</row>
    <row r="888" spans="1:60" ht="13.2" x14ac:dyDescent="0.25">
      <c r="A888" s="7"/>
      <c r="B888" s="7"/>
      <c r="C888" s="7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</row>
    <row r="889" spans="1:60" ht="13.2" x14ac:dyDescent="0.25">
      <c r="A889" s="7"/>
      <c r="B889" s="7"/>
      <c r="C889" s="7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</row>
    <row r="890" spans="1:60" ht="13.2" x14ac:dyDescent="0.25">
      <c r="A890" s="7"/>
      <c r="B890" s="7"/>
      <c r="C890" s="7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</row>
    <row r="891" spans="1:60" ht="13.2" x14ac:dyDescent="0.25">
      <c r="A891" s="7"/>
      <c r="B891" s="7"/>
      <c r="C891" s="7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</row>
    <row r="892" spans="1:60" ht="13.2" x14ac:dyDescent="0.25">
      <c r="A892" s="7"/>
      <c r="B892" s="7"/>
      <c r="C892" s="7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</row>
    <row r="893" spans="1:60" ht="13.2" x14ac:dyDescent="0.25">
      <c r="A893" s="7"/>
      <c r="B893" s="7"/>
      <c r="C893" s="7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</row>
    <row r="894" spans="1:60" ht="13.2" x14ac:dyDescent="0.25">
      <c r="A894" s="7"/>
      <c r="B894" s="7"/>
      <c r="C894" s="7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</row>
    <row r="895" spans="1:60" ht="13.2" x14ac:dyDescent="0.25">
      <c r="A895" s="7"/>
      <c r="B895" s="7"/>
      <c r="C895" s="7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</row>
    <row r="896" spans="1:60" ht="13.2" x14ac:dyDescent="0.25">
      <c r="A896" s="7"/>
      <c r="B896" s="7"/>
      <c r="C896" s="7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</row>
    <row r="897" spans="1:60" ht="13.2" x14ac:dyDescent="0.25">
      <c r="A897" s="7"/>
      <c r="B897" s="7"/>
      <c r="C897" s="7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</row>
    <row r="898" spans="1:60" ht="13.2" x14ac:dyDescent="0.25">
      <c r="A898" s="7"/>
      <c r="B898" s="7"/>
      <c r="C898" s="7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</row>
    <row r="899" spans="1:60" ht="13.2" x14ac:dyDescent="0.25">
      <c r="A899" s="7"/>
      <c r="B899" s="7"/>
      <c r="C899" s="7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</row>
    <row r="900" spans="1:60" ht="13.2" x14ac:dyDescent="0.25">
      <c r="A900" s="7"/>
      <c r="B900" s="7"/>
      <c r="C900" s="7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</row>
    <row r="901" spans="1:60" ht="13.2" x14ac:dyDescent="0.25">
      <c r="A901" s="7"/>
      <c r="B901" s="7"/>
      <c r="C901" s="7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</row>
    <row r="902" spans="1:60" ht="13.2" x14ac:dyDescent="0.25">
      <c r="A902" s="7"/>
      <c r="B902" s="7"/>
      <c r="C902" s="7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</row>
    <row r="903" spans="1:60" ht="13.2" x14ac:dyDescent="0.25">
      <c r="A903" s="7"/>
      <c r="B903" s="7"/>
      <c r="C903" s="7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</row>
    <row r="904" spans="1:60" ht="13.2" x14ac:dyDescent="0.25">
      <c r="A904" s="7"/>
      <c r="B904" s="7"/>
      <c r="C904" s="7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</row>
    <row r="905" spans="1:60" ht="13.2" x14ac:dyDescent="0.25">
      <c r="A905" s="7"/>
      <c r="B905" s="7"/>
      <c r="C905" s="7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</row>
    <row r="906" spans="1:60" ht="13.2" x14ac:dyDescent="0.25">
      <c r="A906" s="7"/>
      <c r="B906" s="7"/>
      <c r="C906" s="7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</row>
    <row r="907" spans="1:60" ht="13.2" x14ac:dyDescent="0.25">
      <c r="A907" s="7"/>
      <c r="B907" s="7"/>
      <c r="C907" s="7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</row>
    <row r="908" spans="1:60" ht="13.2" x14ac:dyDescent="0.25">
      <c r="A908" s="7"/>
      <c r="B908" s="7"/>
      <c r="C908" s="7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</row>
    <row r="909" spans="1:60" ht="13.2" x14ac:dyDescent="0.25">
      <c r="A909" s="7"/>
      <c r="B909" s="7"/>
      <c r="C909" s="7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</row>
    <row r="910" spans="1:60" ht="13.2" x14ac:dyDescent="0.25">
      <c r="A910" s="7"/>
      <c r="B910" s="7"/>
      <c r="C910" s="7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</row>
    <row r="911" spans="1:60" ht="13.2" x14ac:dyDescent="0.25">
      <c r="A911" s="7"/>
      <c r="B911" s="7"/>
      <c r="C911" s="7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</row>
    <row r="912" spans="1:60" ht="13.2" x14ac:dyDescent="0.25">
      <c r="A912" s="7"/>
      <c r="B912" s="7"/>
      <c r="C912" s="7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</row>
    <row r="913" spans="1:60" ht="13.2" x14ac:dyDescent="0.25">
      <c r="A913" s="7"/>
      <c r="B913" s="7"/>
      <c r="C913" s="7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</row>
    <row r="914" spans="1:60" ht="13.2" x14ac:dyDescent="0.25">
      <c r="A914" s="7"/>
      <c r="B914" s="7"/>
      <c r="C914" s="7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</row>
    <row r="915" spans="1:60" ht="13.2" x14ac:dyDescent="0.25">
      <c r="A915" s="7"/>
      <c r="B915" s="7"/>
      <c r="C915" s="7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</row>
    <row r="916" spans="1:60" ht="13.2" x14ac:dyDescent="0.25">
      <c r="A916" s="7"/>
      <c r="B916" s="7"/>
      <c r="C916" s="7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</row>
    <row r="917" spans="1:60" ht="13.2" x14ac:dyDescent="0.25">
      <c r="A917" s="7"/>
      <c r="B917" s="7"/>
      <c r="C917" s="7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</row>
    <row r="918" spans="1:60" ht="13.2" x14ac:dyDescent="0.25">
      <c r="A918" s="7"/>
      <c r="B918" s="7"/>
      <c r="C918" s="7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</row>
    <row r="919" spans="1:60" ht="13.2" x14ac:dyDescent="0.25">
      <c r="A919" s="7"/>
      <c r="B919" s="7"/>
      <c r="C919" s="7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</row>
    <row r="920" spans="1:60" ht="13.2" x14ac:dyDescent="0.25">
      <c r="A920" s="7"/>
      <c r="B920" s="7"/>
      <c r="C920" s="7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</row>
    <row r="921" spans="1:60" ht="13.2" x14ac:dyDescent="0.25">
      <c r="A921" s="7"/>
      <c r="B921" s="7"/>
      <c r="C921" s="7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</row>
    <row r="922" spans="1:60" ht="13.2" x14ac:dyDescent="0.25">
      <c r="A922" s="7"/>
      <c r="B922" s="7"/>
      <c r="C922" s="7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</row>
    <row r="923" spans="1:60" ht="13.2" x14ac:dyDescent="0.25">
      <c r="A923" s="7"/>
      <c r="B923" s="7"/>
      <c r="C923" s="7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</row>
    <row r="924" spans="1:60" ht="13.2" x14ac:dyDescent="0.25">
      <c r="A924" s="7"/>
      <c r="B924" s="7"/>
      <c r="C924" s="7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</row>
    <row r="925" spans="1:60" ht="13.2" x14ac:dyDescent="0.25">
      <c r="A925" s="7"/>
      <c r="B925" s="7"/>
      <c r="C925" s="7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</row>
    <row r="926" spans="1:60" ht="13.2" x14ac:dyDescent="0.25">
      <c r="A926" s="7"/>
      <c r="B926" s="7"/>
      <c r="C926" s="7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</row>
    <row r="927" spans="1:60" ht="13.2" x14ac:dyDescent="0.25">
      <c r="A927" s="7"/>
      <c r="B927" s="7"/>
      <c r="C927" s="7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</row>
    <row r="928" spans="1:60" ht="13.2" x14ac:dyDescent="0.25">
      <c r="A928" s="7"/>
      <c r="B928" s="7"/>
      <c r="C928" s="7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</row>
    <row r="929" spans="1:60" ht="13.2" x14ac:dyDescent="0.25">
      <c r="A929" s="7"/>
      <c r="B929" s="7"/>
      <c r="C929" s="7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</row>
    <row r="930" spans="1:60" ht="13.2" x14ac:dyDescent="0.25">
      <c r="A930" s="7"/>
      <c r="B930" s="7"/>
      <c r="C930" s="7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</row>
    <row r="931" spans="1:60" ht="13.2" x14ac:dyDescent="0.25">
      <c r="A931" s="7"/>
      <c r="B931" s="7"/>
      <c r="C931" s="7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</row>
    <row r="932" spans="1:60" ht="13.2" x14ac:dyDescent="0.25">
      <c r="A932" s="7"/>
      <c r="B932" s="7"/>
      <c r="C932" s="7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</row>
    <row r="933" spans="1:60" ht="13.2" x14ac:dyDescent="0.25">
      <c r="A933" s="7"/>
      <c r="B933" s="7"/>
      <c r="C933" s="7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</row>
    <row r="934" spans="1:60" ht="13.2" x14ac:dyDescent="0.25">
      <c r="A934" s="7"/>
      <c r="B934" s="7"/>
      <c r="C934" s="7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</row>
    <row r="935" spans="1:60" ht="13.2" x14ac:dyDescent="0.25">
      <c r="A935" s="7"/>
      <c r="B935" s="7"/>
      <c r="C935" s="7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</row>
    <row r="936" spans="1:60" ht="13.2" x14ac:dyDescent="0.25">
      <c r="A936" s="7"/>
      <c r="B936" s="7"/>
      <c r="C936" s="7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</row>
    <row r="937" spans="1:60" ht="13.2" x14ac:dyDescent="0.25">
      <c r="A937" s="7"/>
      <c r="B937" s="7"/>
      <c r="C937" s="7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</row>
    <row r="938" spans="1:60" ht="13.2" x14ac:dyDescent="0.25">
      <c r="A938" s="7"/>
      <c r="B938" s="7"/>
      <c r="C938" s="7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</row>
    <row r="939" spans="1:60" ht="13.2" x14ac:dyDescent="0.25">
      <c r="A939" s="7"/>
      <c r="B939" s="7"/>
      <c r="C939" s="7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</row>
    <row r="940" spans="1:60" ht="13.2" x14ac:dyDescent="0.25">
      <c r="A940" s="7"/>
      <c r="B940" s="7"/>
      <c r="C940" s="7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</row>
    <row r="941" spans="1:60" ht="13.2" x14ac:dyDescent="0.25">
      <c r="A941" s="7"/>
      <c r="B941" s="7"/>
      <c r="C941" s="7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</row>
    <row r="942" spans="1:60" ht="13.2" x14ac:dyDescent="0.25">
      <c r="A942" s="7"/>
      <c r="B942" s="7"/>
      <c r="C942" s="7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</row>
    <row r="943" spans="1:60" ht="13.2" x14ac:dyDescent="0.25">
      <c r="A943" s="7"/>
      <c r="B943" s="7"/>
      <c r="C943" s="7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</row>
    <row r="944" spans="1:60" ht="13.2" x14ac:dyDescent="0.25">
      <c r="A944" s="7"/>
      <c r="B944" s="7"/>
      <c r="C944" s="7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</row>
    <row r="945" spans="1:60" ht="13.2" x14ac:dyDescent="0.25">
      <c r="A945" s="7"/>
      <c r="B945" s="7"/>
      <c r="C945" s="7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</row>
    <row r="946" spans="1:60" ht="13.2" x14ac:dyDescent="0.25">
      <c r="A946" s="7"/>
      <c r="B946" s="7"/>
      <c r="C946" s="7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</row>
    <row r="947" spans="1:60" ht="13.2" x14ac:dyDescent="0.25">
      <c r="A947" s="7"/>
      <c r="B947" s="7"/>
      <c r="C947" s="7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</row>
    <row r="948" spans="1:60" ht="13.2" x14ac:dyDescent="0.25">
      <c r="A948" s="7"/>
      <c r="B948" s="7"/>
      <c r="C948" s="7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</row>
    <row r="949" spans="1:60" ht="13.2" x14ac:dyDescent="0.25">
      <c r="A949" s="7"/>
      <c r="B949" s="7"/>
      <c r="C949" s="7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</row>
    <row r="950" spans="1:60" ht="13.2" x14ac:dyDescent="0.25">
      <c r="A950" s="7"/>
      <c r="B950" s="7"/>
      <c r="C950" s="7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</row>
    <row r="951" spans="1:60" ht="13.2" x14ac:dyDescent="0.25">
      <c r="A951" s="7"/>
      <c r="B951" s="7"/>
      <c r="C951" s="7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</row>
    <row r="952" spans="1:60" ht="13.2" x14ac:dyDescent="0.25">
      <c r="A952" s="7"/>
      <c r="B952" s="7"/>
      <c r="C952" s="7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</row>
    <row r="953" spans="1:60" ht="13.2" x14ac:dyDescent="0.25">
      <c r="A953" s="7"/>
      <c r="B953" s="7"/>
      <c r="C953" s="7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</row>
    <row r="954" spans="1:60" ht="13.2" x14ac:dyDescent="0.25">
      <c r="A954" s="7"/>
      <c r="B954" s="7"/>
      <c r="C954" s="7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</row>
    <row r="955" spans="1:60" ht="13.2" x14ac:dyDescent="0.25">
      <c r="A955" s="7"/>
      <c r="B955" s="7"/>
      <c r="C955" s="7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</row>
    <row r="956" spans="1:60" ht="13.2" x14ac:dyDescent="0.25">
      <c r="A956" s="7"/>
      <c r="B956" s="7"/>
      <c r="C956" s="7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</row>
    <row r="957" spans="1:60" ht="13.2" x14ac:dyDescent="0.25">
      <c r="A957" s="7"/>
      <c r="B957" s="7"/>
      <c r="C957" s="7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</row>
    <row r="958" spans="1:60" ht="13.2" x14ac:dyDescent="0.25">
      <c r="A958" s="7"/>
      <c r="B958" s="7"/>
      <c r="C958" s="7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</row>
    <row r="959" spans="1:60" ht="13.2" x14ac:dyDescent="0.25">
      <c r="A959" s="7"/>
      <c r="B959" s="7"/>
      <c r="C959" s="7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</row>
    <row r="960" spans="1:60" ht="13.2" x14ac:dyDescent="0.25">
      <c r="A960" s="7"/>
      <c r="B960" s="7"/>
      <c r="C960" s="7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</row>
    <row r="961" spans="1:60" ht="13.2" x14ac:dyDescent="0.25">
      <c r="A961" s="7"/>
      <c r="B961" s="7"/>
      <c r="C961" s="7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</row>
    <row r="962" spans="1:60" ht="13.2" x14ac:dyDescent="0.25">
      <c r="A962" s="7"/>
      <c r="B962" s="7"/>
      <c r="C962" s="7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</row>
    <row r="963" spans="1:60" ht="13.2" x14ac:dyDescent="0.25">
      <c r="A963" s="7"/>
      <c r="B963" s="7"/>
      <c r="C963" s="7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</row>
    <row r="964" spans="1:60" ht="13.2" x14ac:dyDescent="0.25">
      <c r="A964" s="7"/>
      <c r="B964" s="7"/>
      <c r="C964" s="7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</row>
    <row r="965" spans="1:60" ht="13.2" x14ac:dyDescent="0.25">
      <c r="A965" s="7"/>
      <c r="B965" s="7"/>
      <c r="C965" s="7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</row>
    <row r="966" spans="1:60" ht="13.2" x14ac:dyDescent="0.25">
      <c r="A966" s="7"/>
      <c r="B966" s="7"/>
      <c r="C966" s="7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</row>
    <row r="967" spans="1:60" ht="13.2" x14ac:dyDescent="0.25">
      <c r="A967" s="7"/>
      <c r="B967" s="7"/>
      <c r="C967" s="7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</row>
    <row r="968" spans="1:60" ht="13.2" x14ac:dyDescent="0.25">
      <c r="A968" s="7"/>
      <c r="B968" s="7"/>
      <c r="C968" s="7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</row>
    <row r="969" spans="1:60" ht="13.2" x14ac:dyDescent="0.25">
      <c r="A969" s="7"/>
      <c r="B969" s="7"/>
      <c r="C969" s="7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</row>
    <row r="970" spans="1:60" ht="13.2" x14ac:dyDescent="0.25">
      <c r="A970" s="7"/>
      <c r="B970" s="7"/>
      <c r="C970" s="7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</row>
    <row r="971" spans="1:60" ht="13.2" x14ac:dyDescent="0.25">
      <c r="A971" s="7"/>
      <c r="B971" s="7"/>
      <c r="C971" s="7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</row>
    <row r="972" spans="1:60" ht="13.2" x14ac:dyDescent="0.25">
      <c r="A972" s="7"/>
      <c r="B972" s="7"/>
      <c r="C972" s="7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</row>
    <row r="973" spans="1:60" ht="13.2" x14ac:dyDescent="0.25">
      <c r="A973" s="7"/>
      <c r="B973" s="7"/>
      <c r="C973" s="7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</row>
    <row r="974" spans="1:60" ht="13.2" x14ac:dyDescent="0.25">
      <c r="A974" s="7"/>
      <c r="B974" s="7"/>
      <c r="C974" s="7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</row>
    <row r="975" spans="1:60" ht="13.2" x14ac:dyDescent="0.25">
      <c r="A975" s="7"/>
      <c r="B975" s="7"/>
      <c r="C975" s="7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</row>
    <row r="976" spans="1:60" ht="13.2" x14ac:dyDescent="0.25">
      <c r="A976" s="7"/>
      <c r="B976" s="7"/>
      <c r="C976" s="7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</row>
    <row r="977" spans="1:60" ht="13.2" x14ac:dyDescent="0.25">
      <c r="A977" s="7"/>
      <c r="B977" s="7"/>
      <c r="C977" s="7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</row>
    <row r="978" spans="1:60" ht="13.2" x14ac:dyDescent="0.25">
      <c r="A978" s="7"/>
      <c r="B978" s="7"/>
      <c r="C978" s="7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</row>
    <row r="979" spans="1:60" ht="13.2" x14ac:dyDescent="0.25">
      <c r="A979" s="7"/>
      <c r="B979" s="7"/>
      <c r="C979" s="7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</row>
    <row r="980" spans="1:60" ht="13.2" x14ac:dyDescent="0.25">
      <c r="A980" s="7"/>
      <c r="B980" s="7"/>
      <c r="C980" s="7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</row>
    <row r="981" spans="1:60" ht="13.2" x14ac:dyDescent="0.25">
      <c r="A981" s="7"/>
      <c r="B981" s="7"/>
      <c r="C981" s="7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</row>
    <row r="982" spans="1:60" ht="13.2" x14ac:dyDescent="0.25">
      <c r="A982" s="7"/>
      <c r="B982" s="7"/>
      <c r="C982" s="7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</row>
    <row r="983" spans="1:60" ht="13.2" x14ac:dyDescent="0.25">
      <c r="A983" s="7"/>
      <c r="B983" s="7"/>
      <c r="C983" s="7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</row>
    <row r="984" spans="1:60" ht="13.2" x14ac:dyDescent="0.25">
      <c r="A984" s="7"/>
      <c r="B984" s="7"/>
      <c r="C984" s="7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</row>
    <row r="985" spans="1:60" ht="13.2" x14ac:dyDescent="0.25">
      <c r="A985" s="7"/>
      <c r="B985" s="7"/>
      <c r="C985" s="7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</row>
    <row r="986" spans="1:60" ht="13.2" x14ac:dyDescent="0.25">
      <c r="A986" s="7"/>
      <c r="B986" s="7"/>
      <c r="C986" s="7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</row>
    <row r="987" spans="1:60" ht="13.2" x14ac:dyDescent="0.25">
      <c r="A987" s="7"/>
      <c r="B987" s="7"/>
      <c r="C987" s="7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</row>
    <row r="988" spans="1:60" ht="13.2" x14ac:dyDescent="0.25">
      <c r="A988" s="7"/>
      <c r="B988" s="7"/>
      <c r="C988" s="7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</row>
    <row r="989" spans="1:60" ht="13.2" x14ac:dyDescent="0.25">
      <c r="A989" s="7"/>
      <c r="B989" s="7"/>
      <c r="C989" s="7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</row>
    <row r="990" spans="1:60" ht="13.2" x14ac:dyDescent="0.25">
      <c r="A990" s="7"/>
      <c r="B990" s="7"/>
      <c r="C990" s="7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</row>
    <row r="991" spans="1:60" ht="13.2" x14ac:dyDescent="0.25">
      <c r="A991" s="7"/>
      <c r="B991" s="7"/>
      <c r="C991" s="7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</row>
    <row r="992" spans="1:60" ht="13.2" x14ac:dyDescent="0.25">
      <c r="A992" s="7"/>
      <c r="B992" s="7"/>
      <c r="C992" s="7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</row>
    <row r="993" spans="1:60" ht="13.2" x14ac:dyDescent="0.25">
      <c r="A993" s="7"/>
      <c r="B993" s="7"/>
      <c r="C993" s="7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</row>
    <row r="994" spans="1:60" ht="13.2" x14ac:dyDescent="0.25">
      <c r="A994" s="7"/>
      <c r="B994" s="7"/>
      <c r="C994" s="7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</row>
    <row r="995" spans="1:60" ht="13.2" x14ac:dyDescent="0.25">
      <c r="A995" s="7"/>
      <c r="B995" s="7"/>
      <c r="C995" s="7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</row>
    <row r="996" spans="1:60" ht="13.2" x14ac:dyDescent="0.25">
      <c r="A996" s="7"/>
      <c r="B996" s="7"/>
      <c r="C996" s="7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</row>
    <row r="997" spans="1:60" ht="13.2" x14ac:dyDescent="0.25">
      <c r="A997" s="7"/>
      <c r="B997" s="7"/>
      <c r="C997" s="7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</row>
    <row r="998" spans="1:60" ht="13.2" x14ac:dyDescent="0.25">
      <c r="A998" s="7"/>
      <c r="B998" s="7"/>
      <c r="C998" s="7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</row>
    <row r="999" spans="1:60" ht="13.2" x14ac:dyDescent="0.25">
      <c r="A999" s="7"/>
      <c r="B999" s="7"/>
      <c r="C999" s="7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</row>
    <row r="1000" spans="1:60" ht="13.2" x14ac:dyDescent="0.25">
      <c r="A1000" s="7"/>
      <c r="B1000" s="7"/>
      <c r="C1000" s="7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</row>
    <row r="1001" spans="1:60" ht="13.2" x14ac:dyDescent="0.25">
      <c r="A1001" s="7"/>
      <c r="B1001" s="7"/>
      <c r="C1001" s="7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</row>
    <row r="1002" spans="1:60" ht="13.2" x14ac:dyDescent="0.25">
      <c r="A1002" s="7"/>
      <c r="B1002" s="7"/>
      <c r="C1002" s="7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</row>
    <row r="1003" spans="1:60" ht="13.2" x14ac:dyDescent="0.25">
      <c r="A1003" s="7"/>
      <c r="B1003" s="7"/>
      <c r="C1003" s="7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D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2025-10-09T16:32:16Z</dcterms:created>
  <dcterms:modified xsi:type="dcterms:W3CDTF">2026-09-07T05:41:18Z</dcterms:modified>
</cp:coreProperties>
</file>